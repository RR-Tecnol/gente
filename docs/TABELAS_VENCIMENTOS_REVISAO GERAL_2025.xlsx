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COCQ\REAJUSTE SALARIAL\TABELAS DE VENCIMENTOS\"/>
    </mc:Choice>
  </mc:AlternateContent>
  <xr:revisionPtr revIDLastSave="0" documentId="13_ncr:1_{ABE2F588-72ED-436F-86FC-E27D3C87594E}" xr6:coauthVersionLast="47" xr6:coauthVersionMax="47" xr10:uidLastSave="{00000000-0000-0000-0000-000000000000}"/>
  <bookViews>
    <workbookView xWindow="-21720" yWindow="-120" windowWidth="21840" windowHeight="13020" tabRatio="677" firstSheet="5" activeTab="9" xr2:uid="{00000000-000D-0000-FFFF-FFFF00000000}"/>
  </bookViews>
  <sheets>
    <sheet name="EFETIVOS_6%" sheetId="27" r:id="rId1"/>
    <sheet name="GUARDA MUNICIPAL_6%" sheetId="28" r:id="rId2"/>
    <sheet name="AUDITOR CONTROLE INTERNO_6%" sheetId="22" r:id="rId3"/>
    <sheet name="ASSIST DE AUDITOR INTERN_6%" sheetId="23" r:id="rId4"/>
    <sheet name="AUDITOR FISCAL TRIBUTOS_6%" sheetId="34" r:id="rId5"/>
    <sheet name="PROCURADORES_6%" sheetId="35" r:id="rId6"/>
    <sheet name="TEC FISCAL URBANISMO_6%" sheetId="24" r:id="rId7"/>
    <sheet name="COLISEU_6%" sheetId="29" r:id="rId8"/>
    <sheet name="COMISSIONADOS_6%" sheetId="31" r:id="rId9"/>
    <sheet name="CONSELHEIRO TUTELAR_6%" sheetId="36" r:id="rId10"/>
  </sheets>
  <definedNames>
    <definedName name="_xlnm.Print_Area" localSheetId="3">'ASSIST DE AUDITOR INTERN_6%'!$A$1:$K$6</definedName>
    <definedName name="_xlnm.Print_Area" localSheetId="2">'AUDITOR CONTROLE INTERNO_6%'!$A$1:$I$17</definedName>
    <definedName name="_xlnm.Print_Area" localSheetId="4">'AUDITOR FISCAL TRIBUTOS_6%'!$A$1:$I$18</definedName>
    <definedName name="_xlnm.Print_Area" localSheetId="5">'PROCURADORES_6%'!$A$1:$I$18</definedName>
    <definedName name="_xlnm.Print_Area" localSheetId="6">'TEC FISCAL URBANISMO_6%'!$A$1:$K$9</definedName>
  </definedNames>
  <calcPr calcId="181029"/>
</workbook>
</file>

<file path=xl/calcChain.xml><?xml version="1.0" encoding="utf-8"?>
<calcChain xmlns="http://schemas.openxmlformats.org/spreadsheetml/2006/main">
  <c r="H5" i="31" l="1"/>
  <c r="H4" i="36"/>
  <c r="B4" i="36" s="1"/>
  <c r="H4" i="31"/>
  <c r="H8" i="31"/>
  <c r="B8" i="31" s="1"/>
  <c r="H7" i="31"/>
  <c r="B7" i="31" s="1"/>
  <c r="H9" i="31"/>
  <c r="B9" i="31" s="1"/>
  <c r="H10" i="31"/>
  <c r="B10" i="31" s="1"/>
  <c r="H11" i="31"/>
  <c r="B11" i="31" s="1"/>
  <c r="H12" i="31"/>
  <c r="B12" i="31" s="1"/>
  <c r="H13" i="31"/>
  <c r="B13" i="31" s="1"/>
  <c r="H14" i="31"/>
  <c r="B14" i="31" s="1"/>
  <c r="H15" i="31"/>
  <c r="B15" i="31" s="1"/>
  <c r="H16" i="31"/>
  <c r="B16" i="31" s="1"/>
  <c r="H17" i="31"/>
  <c r="B17" i="31" s="1"/>
  <c r="H6" i="31"/>
  <c r="B6" i="31" s="1"/>
  <c r="B5" i="31"/>
  <c r="C12" i="29" l="1"/>
  <c r="C13" i="29"/>
  <c r="C20" i="29"/>
  <c r="C21" i="29"/>
  <c r="C28" i="29"/>
  <c r="C29" i="29"/>
  <c r="C36" i="29"/>
  <c r="C37" i="29"/>
  <c r="I6" i="29"/>
  <c r="C6" i="29" s="1"/>
  <c r="I7" i="29"/>
  <c r="C7" i="29" s="1"/>
  <c r="I8" i="29"/>
  <c r="C8" i="29" s="1"/>
  <c r="I9" i="29"/>
  <c r="C9" i="29" s="1"/>
  <c r="I10" i="29"/>
  <c r="C10" i="29" s="1"/>
  <c r="I11" i="29"/>
  <c r="C11" i="29" s="1"/>
  <c r="I12" i="29"/>
  <c r="I13" i="29"/>
  <c r="I14" i="29"/>
  <c r="C14" i="29" s="1"/>
  <c r="I15" i="29"/>
  <c r="C15" i="29" s="1"/>
  <c r="I16" i="29"/>
  <c r="C16" i="29" s="1"/>
  <c r="I17" i="29"/>
  <c r="C17" i="29" s="1"/>
  <c r="I18" i="29"/>
  <c r="C18" i="29" s="1"/>
  <c r="I19" i="29"/>
  <c r="C19" i="29" s="1"/>
  <c r="I20" i="29"/>
  <c r="I21" i="29"/>
  <c r="I22" i="29"/>
  <c r="C22" i="29" s="1"/>
  <c r="I23" i="29"/>
  <c r="C23" i="29" s="1"/>
  <c r="I24" i="29"/>
  <c r="C24" i="29" s="1"/>
  <c r="I25" i="29"/>
  <c r="C25" i="29" s="1"/>
  <c r="I26" i="29"/>
  <c r="C26" i="29" s="1"/>
  <c r="I27" i="29"/>
  <c r="C27" i="29" s="1"/>
  <c r="I28" i="29"/>
  <c r="I29" i="29"/>
  <c r="I30" i="29"/>
  <c r="C30" i="29" s="1"/>
  <c r="I31" i="29"/>
  <c r="C31" i="29" s="1"/>
  <c r="I32" i="29"/>
  <c r="C32" i="29" s="1"/>
  <c r="I33" i="29"/>
  <c r="C33" i="29" s="1"/>
  <c r="I34" i="29"/>
  <c r="C34" i="29" s="1"/>
  <c r="I35" i="29"/>
  <c r="C35" i="29" s="1"/>
  <c r="I36" i="29"/>
  <c r="I37" i="29"/>
  <c r="I38" i="29"/>
  <c r="C38" i="29" s="1"/>
  <c r="I5" i="29"/>
  <c r="C5" i="29" s="1"/>
  <c r="C6" i="24" l="1"/>
  <c r="D6" i="24"/>
  <c r="E6" i="24"/>
  <c r="F6" i="24"/>
  <c r="G6" i="24"/>
  <c r="H6" i="24"/>
  <c r="I6" i="24"/>
  <c r="J6" i="24"/>
  <c r="K6" i="24"/>
  <c r="C7" i="24"/>
  <c r="D7" i="24"/>
  <c r="E7" i="24"/>
  <c r="F7" i="24"/>
  <c r="G7" i="24"/>
  <c r="H7" i="24"/>
  <c r="I7" i="24"/>
  <c r="J7" i="24"/>
  <c r="K7" i="24"/>
  <c r="C8" i="24"/>
  <c r="D8" i="24"/>
  <c r="E8" i="24"/>
  <c r="F8" i="24"/>
  <c r="G8" i="24"/>
  <c r="H8" i="24"/>
  <c r="I8" i="24"/>
  <c r="J8" i="24"/>
  <c r="K8" i="24"/>
  <c r="B8" i="24"/>
  <c r="B7" i="24"/>
  <c r="B6" i="24"/>
  <c r="F15" i="35"/>
  <c r="F14" i="35"/>
  <c r="F13" i="35"/>
  <c r="F12" i="35"/>
  <c r="F11" i="35"/>
  <c r="F10" i="35"/>
  <c r="F9" i="35"/>
  <c r="F8" i="35"/>
  <c r="F7" i="35"/>
  <c r="F6" i="35"/>
  <c r="F15" i="34"/>
  <c r="F14" i="34"/>
  <c r="F13" i="34"/>
  <c r="F12" i="34"/>
  <c r="F11" i="34"/>
  <c r="F10" i="34"/>
  <c r="F9" i="34"/>
  <c r="F8" i="34"/>
  <c r="F7" i="34"/>
  <c r="F6" i="34"/>
  <c r="C6" i="23"/>
  <c r="D6" i="23"/>
  <c r="E6" i="23"/>
  <c r="F6" i="23"/>
  <c r="G6" i="23"/>
  <c r="H6" i="23"/>
  <c r="I6" i="23"/>
  <c r="J6" i="23"/>
  <c r="K6" i="23"/>
  <c r="B6" i="23"/>
  <c r="F15" i="22"/>
  <c r="F7" i="22"/>
  <c r="F8" i="22"/>
  <c r="F9" i="22"/>
  <c r="F10" i="22"/>
  <c r="F11" i="22"/>
  <c r="F12" i="22"/>
  <c r="F13" i="22"/>
  <c r="F14" i="22"/>
  <c r="F6" i="22"/>
  <c r="D10" i="28"/>
  <c r="E10" i="28"/>
  <c r="F10" i="28"/>
  <c r="G10" i="28"/>
  <c r="H10" i="28"/>
  <c r="I10" i="28"/>
  <c r="J10" i="28"/>
  <c r="K10" i="28"/>
  <c r="L10" i="28"/>
  <c r="D11" i="28"/>
  <c r="E11" i="28"/>
  <c r="F11" i="28"/>
  <c r="G11" i="28"/>
  <c r="H11" i="28"/>
  <c r="I11" i="28"/>
  <c r="J11" i="28"/>
  <c r="K11" i="28"/>
  <c r="L11" i="28"/>
  <c r="D12" i="28"/>
  <c r="E12" i="28"/>
  <c r="F12" i="28"/>
  <c r="G12" i="28"/>
  <c r="H12" i="28"/>
  <c r="I12" i="28"/>
  <c r="J12" i="28"/>
  <c r="K12" i="28"/>
  <c r="L12" i="28"/>
  <c r="D13" i="28"/>
  <c r="E13" i="28"/>
  <c r="F13" i="28"/>
  <c r="G13" i="28"/>
  <c r="H13" i="28"/>
  <c r="I13" i="28"/>
  <c r="J13" i="28"/>
  <c r="K13" i="28"/>
  <c r="L13" i="28"/>
  <c r="D14" i="28"/>
  <c r="E14" i="28"/>
  <c r="F14" i="28"/>
  <c r="G14" i="28"/>
  <c r="H14" i="28"/>
  <c r="I14" i="28"/>
  <c r="J14" i="28"/>
  <c r="K14" i="28"/>
  <c r="L14" i="28"/>
  <c r="C14" i="28"/>
  <c r="C13" i="28"/>
  <c r="C12" i="28"/>
  <c r="C11" i="28"/>
  <c r="C10" i="28"/>
  <c r="G8" i="28"/>
  <c r="D9" i="28"/>
  <c r="E9" i="28"/>
  <c r="F9" i="28"/>
  <c r="G9" i="28"/>
  <c r="H9" i="28"/>
  <c r="I9" i="28"/>
  <c r="J9" i="28"/>
  <c r="K9" i="28"/>
  <c r="L9" i="28"/>
  <c r="C9" i="28"/>
  <c r="D8" i="28"/>
  <c r="E8" i="28"/>
  <c r="F8" i="28"/>
  <c r="H8" i="28"/>
  <c r="I8" i="28"/>
  <c r="J8" i="28"/>
  <c r="K8" i="28"/>
  <c r="L8" i="28"/>
  <c r="C8" i="28"/>
  <c r="D7" i="28"/>
  <c r="E7" i="28"/>
  <c r="F7" i="28"/>
  <c r="G7" i="28"/>
  <c r="H7" i="28"/>
  <c r="I7" i="28"/>
  <c r="J7" i="28"/>
  <c r="K7" i="28"/>
  <c r="L7" i="28"/>
  <c r="C7" i="28"/>
  <c r="K22" i="27"/>
  <c r="C20" i="27"/>
  <c r="D20" i="27"/>
  <c r="E20" i="27"/>
  <c r="F20" i="27"/>
  <c r="G20" i="27"/>
  <c r="H20" i="27"/>
  <c r="I20" i="27"/>
  <c r="J20" i="27"/>
  <c r="K20" i="27"/>
  <c r="C21" i="27"/>
  <c r="D21" i="27"/>
  <c r="E21" i="27"/>
  <c r="F21" i="27"/>
  <c r="G21" i="27"/>
  <c r="H21" i="27"/>
  <c r="I21" i="27"/>
  <c r="J21" i="27"/>
  <c r="K21" i="27"/>
  <c r="C22" i="27"/>
  <c r="D22" i="27"/>
  <c r="E22" i="27"/>
  <c r="F22" i="27"/>
  <c r="G22" i="27"/>
  <c r="H22" i="27"/>
  <c r="I22" i="27"/>
  <c r="J22" i="27"/>
  <c r="B22" i="27"/>
  <c r="B21" i="27"/>
  <c r="B20" i="27"/>
  <c r="C14" i="27"/>
  <c r="D14" i="27"/>
  <c r="E14" i="27"/>
  <c r="F14" i="27"/>
  <c r="G14" i="27"/>
  <c r="H14" i="27"/>
  <c r="I14" i="27"/>
  <c r="J14" i="27"/>
  <c r="K14" i="27"/>
  <c r="C15" i="27"/>
  <c r="D15" i="27"/>
  <c r="E15" i="27"/>
  <c r="F15" i="27"/>
  <c r="G15" i="27"/>
  <c r="H15" i="27"/>
  <c r="I15" i="27"/>
  <c r="J15" i="27"/>
  <c r="K15" i="27"/>
  <c r="C16" i="27"/>
  <c r="D16" i="27"/>
  <c r="E16" i="27"/>
  <c r="F16" i="27"/>
  <c r="G16" i="27"/>
  <c r="H16" i="27"/>
  <c r="I16" i="27"/>
  <c r="J16" i="27"/>
  <c r="K16" i="27"/>
  <c r="B16" i="27"/>
  <c r="B15" i="27"/>
  <c r="B14" i="27"/>
  <c r="C9" i="27"/>
  <c r="D9" i="27"/>
  <c r="E9" i="27"/>
  <c r="F9" i="27"/>
  <c r="G9" i="27"/>
  <c r="H9" i="27"/>
  <c r="I9" i="27"/>
  <c r="J9" i="27"/>
  <c r="K9" i="27"/>
  <c r="C10" i="27"/>
  <c r="D10" i="27"/>
  <c r="E10" i="27"/>
  <c r="F10" i="27"/>
  <c r="G10" i="27"/>
  <c r="H10" i="27"/>
  <c r="I10" i="27"/>
  <c r="J10" i="27"/>
  <c r="K10" i="27"/>
  <c r="B10" i="27"/>
  <c r="B9" i="27"/>
  <c r="C8" i="27"/>
  <c r="D8" i="27"/>
  <c r="E8" i="27"/>
  <c r="F8" i="27"/>
  <c r="G8" i="27"/>
  <c r="H8" i="27"/>
  <c r="I8" i="27"/>
  <c r="J8" i="27"/>
  <c r="K8" i="27"/>
  <c r="B8" i="27"/>
  <c r="C7" i="27"/>
  <c r="D7" i="27"/>
  <c r="E7" i="27"/>
  <c r="F7" i="27"/>
  <c r="G7" i="27"/>
  <c r="H7" i="27"/>
  <c r="I7" i="27"/>
  <c r="J7" i="27"/>
  <c r="K7" i="27"/>
  <c r="B7" i="27"/>
  <c r="G6" i="27"/>
  <c r="H6" i="27"/>
  <c r="I6" i="27"/>
  <c r="J6" i="27"/>
  <c r="K6" i="27"/>
  <c r="C6" i="27"/>
  <c r="D6" i="27"/>
  <c r="E6" i="27"/>
  <c r="F6" i="27"/>
  <c r="B6" i="27"/>
  <c r="B47" i="27"/>
  <c r="B46" i="27"/>
  <c r="E31" i="28" l="1"/>
  <c r="C31" i="28"/>
  <c r="D31" i="28"/>
  <c r="K48" i="27" l="1"/>
  <c r="J48" i="27"/>
  <c r="I48" i="27"/>
  <c r="H48" i="27"/>
  <c r="G48" i="27"/>
  <c r="F48" i="27"/>
  <c r="E48" i="27"/>
  <c r="D48" i="27"/>
  <c r="C48" i="27"/>
  <c r="B48" i="27"/>
  <c r="K47" i="27"/>
  <c r="J47" i="27"/>
  <c r="I47" i="27"/>
  <c r="H47" i="27"/>
  <c r="G47" i="27"/>
  <c r="F47" i="27"/>
  <c r="E47" i="27"/>
  <c r="D47" i="27"/>
  <c r="C47" i="27"/>
  <c r="C46" i="27"/>
  <c r="D46" i="27"/>
  <c r="E46" i="27"/>
  <c r="F46" i="27"/>
  <c r="G46" i="27"/>
  <c r="H46" i="27"/>
  <c r="I46" i="27"/>
  <c r="J46" i="27"/>
  <c r="K46" i="27"/>
  <c r="L38" i="28"/>
  <c r="K38" i="28"/>
  <c r="J38" i="28"/>
  <c r="I38" i="28"/>
  <c r="H38" i="28"/>
  <c r="G38" i="28"/>
  <c r="F38" i="28"/>
  <c r="E38" i="28"/>
  <c r="D38" i="28"/>
  <c r="C38" i="28"/>
  <c r="L37" i="28"/>
  <c r="K37" i="28"/>
  <c r="J37" i="28"/>
  <c r="I37" i="28"/>
  <c r="H37" i="28"/>
  <c r="G37" i="28"/>
  <c r="F37" i="28"/>
  <c r="E37" i="28"/>
  <c r="D37" i="28"/>
  <c r="C37" i="28"/>
  <c r="L36" i="28"/>
  <c r="K36" i="28"/>
  <c r="J36" i="28"/>
  <c r="I36" i="28"/>
  <c r="H36" i="28"/>
  <c r="G36" i="28"/>
  <c r="F36" i="28"/>
  <c r="E36" i="28"/>
  <c r="D36" i="28"/>
  <c r="C36" i="28"/>
  <c r="L35" i="28"/>
  <c r="K35" i="28"/>
  <c r="J35" i="28"/>
  <c r="I35" i="28"/>
  <c r="H35" i="28"/>
  <c r="G35" i="28"/>
  <c r="F35" i="28"/>
  <c r="E35" i="28"/>
  <c r="D35" i="28"/>
  <c r="C35" i="28"/>
  <c r="L34" i="28"/>
  <c r="K34" i="28"/>
  <c r="J34" i="28"/>
  <c r="I34" i="28"/>
  <c r="H34" i="28"/>
  <c r="G34" i="28"/>
  <c r="F34" i="28"/>
  <c r="E34" i="28"/>
  <c r="D34" i="28"/>
  <c r="C34" i="28"/>
  <c r="L33" i="28"/>
  <c r="K33" i="28"/>
  <c r="J33" i="28"/>
  <c r="I33" i="28"/>
  <c r="H33" i="28"/>
  <c r="G33" i="28"/>
  <c r="F33" i="28"/>
  <c r="E33" i="28"/>
  <c r="D33" i="28"/>
  <c r="C33" i="28"/>
  <c r="L32" i="28"/>
  <c r="K32" i="28"/>
  <c r="J32" i="28"/>
  <c r="I32" i="28"/>
  <c r="H32" i="28"/>
  <c r="G32" i="28"/>
  <c r="F32" i="28"/>
  <c r="E32" i="28"/>
  <c r="D32" i="28"/>
  <c r="C32" i="28"/>
  <c r="F31" i="28"/>
  <c r="G31" i="28"/>
  <c r="H31" i="28"/>
  <c r="I31" i="28"/>
  <c r="J31" i="28"/>
  <c r="K31" i="28"/>
  <c r="L31" i="28"/>
</calcChain>
</file>

<file path=xl/sharedStrings.xml><?xml version="1.0" encoding="utf-8"?>
<sst xmlns="http://schemas.openxmlformats.org/spreadsheetml/2006/main" count="440" uniqueCount="174">
  <si>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</si>
  <si>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</si>
  <si>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</si>
  <si>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</si>
  <si>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</si>
  <si>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</si>
  <si>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</si>
  <si>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</si>
  <si>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</si>
  <si>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</si>
  <si>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II</t>
  </si>
  <si>
    <t>III</t>
  </si>
  <si>
    <t>XII</t>
  </si>
  <si>
    <t>XIII</t>
  </si>
  <si>
    <t>XIV</t>
  </si>
  <si>
    <t>NIVEL</t>
  </si>
  <si>
    <t>VIII</t>
  </si>
  <si>
    <t>PADRÃO</t>
  </si>
  <si>
    <t>TABELA DE VENCIMENTO DOS SERVIDORES EFETIVOS</t>
  </si>
  <si>
    <t>NÍVEIS</t>
  </si>
  <si>
    <t>IV</t>
  </si>
  <si>
    <t>V</t>
  </si>
  <si>
    <t>VI</t>
  </si>
  <si>
    <t>VII</t>
  </si>
  <si>
    <t>IX</t>
  </si>
  <si>
    <t>X</t>
  </si>
  <si>
    <t>XI</t>
  </si>
  <si>
    <t>TABELA DE VENCIMENTO DOS SERVIDORES DA GUARDA MUNICIPAL</t>
  </si>
  <si>
    <t>CARGOS</t>
  </si>
  <si>
    <t>NIVEIS</t>
  </si>
  <si>
    <t>2. CLASSE</t>
  </si>
  <si>
    <t>GI</t>
  </si>
  <si>
    <t>1. CLASSE</t>
  </si>
  <si>
    <t>GII</t>
  </si>
  <si>
    <t>CLASSE DISTINTA A</t>
  </si>
  <si>
    <t>GIII</t>
  </si>
  <si>
    <t>CLASSE DISTINTA B</t>
  </si>
  <si>
    <t>GIV</t>
  </si>
  <si>
    <t>SUBINSPETOR</t>
  </si>
  <si>
    <t>GV</t>
  </si>
  <si>
    <t>INSPETOR 2. CLASSE</t>
  </si>
  <si>
    <t>GVI</t>
  </si>
  <si>
    <t>INSPETOR 1. CLASSE</t>
  </si>
  <si>
    <t>GVII</t>
  </si>
  <si>
    <t>INSPETOR REGIONAL</t>
  </si>
  <si>
    <t>GVIII</t>
  </si>
  <si>
    <t>EMPREGADOS PÚBLICOS DA COLISEU</t>
  </si>
  <si>
    <t>CARGO</t>
  </si>
  <si>
    <t>REFERÊNCIA</t>
  </si>
  <si>
    <t>VALOR VENC.
TABELA REAJUSTE</t>
  </si>
  <si>
    <t>ADVOGADO</t>
  </si>
  <si>
    <t>ADVNV II</t>
  </si>
  <si>
    <t>ASSISTENTE</t>
  </si>
  <si>
    <t>ASSNV I</t>
  </si>
  <si>
    <t>ASSNV VIII</t>
  </si>
  <si>
    <t>ASSISTENTE SOCIAL</t>
  </si>
  <si>
    <t>AUX. DE MECANICO</t>
  </si>
  <si>
    <t>CP021</t>
  </si>
  <si>
    <t>AUXILIAR</t>
  </si>
  <si>
    <t>AUXNV I</t>
  </si>
  <si>
    <t>AUXNV VIII</t>
  </si>
  <si>
    <t>BORRACHEIRO</t>
  </si>
  <si>
    <t>CP022</t>
  </si>
  <si>
    <t>ENCARREGADO DE TURMA</t>
  </si>
  <si>
    <t>CP109</t>
  </si>
  <si>
    <t>FISCAL ADMIN.(LIMP.)</t>
  </si>
  <si>
    <t>CP030</t>
  </si>
  <si>
    <t>GARI</t>
  </si>
  <si>
    <t>CP001</t>
  </si>
  <si>
    <t>LANTERNEIRO</t>
  </si>
  <si>
    <t>MECANICO DE PATIO</t>
  </si>
  <si>
    <t>MEDICO</t>
  </si>
  <si>
    <t>MEDNV I</t>
  </si>
  <si>
    <t>MOTORISTA</t>
  </si>
  <si>
    <t>CP013</t>
  </si>
  <si>
    <t>MOTNV I</t>
  </si>
  <si>
    <t>SERVENTE</t>
  </si>
  <si>
    <t>CP002</t>
  </si>
  <si>
    <t>SRVNV I</t>
  </si>
  <si>
    <t>SOLDADOR</t>
  </si>
  <si>
    <t>SUPERINTENDENTE</t>
  </si>
  <si>
    <t>NIVEL I</t>
  </si>
  <si>
    <t>TEC. NIVEL MEDIO C</t>
  </si>
  <si>
    <t>CP059</t>
  </si>
  <si>
    <t>TEC. NIVEL MEDIO D</t>
  </si>
  <si>
    <t>CP060</t>
  </si>
  <si>
    <t>TEC. NIVEL MEDIO E</t>
  </si>
  <si>
    <t>CP063</t>
  </si>
  <si>
    <t>TEC. NIVEL MEDIO F</t>
  </si>
  <si>
    <t>CP054</t>
  </si>
  <si>
    <t>TEC.NIVEL SUPERIOR B</t>
  </si>
  <si>
    <t>CP061</t>
  </si>
  <si>
    <t>TEC.NIVEL SUPERIOR C</t>
  </si>
  <si>
    <t>CP062</t>
  </si>
  <si>
    <t>TEC.NIVEL SUPERIOR E</t>
  </si>
  <si>
    <t>CP064</t>
  </si>
  <si>
    <t>TEC.NIVEL SUPERIOR F</t>
  </si>
  <si>
    <t>CP055</t>
  </si>
  <si>
    <t>TELEFONISTA</t>
  </si>
  <si>
    <t>CP008</t>
  </si>
  <si>
    <t>TELNV I</t>
  </si>
  <si>
    <t>TRABALHADOR</t>
  </si>
  <si>
    <t>ASTR1A</t>
  </si>
  <si>
    <t>VIGIA</t>
  </si>
  <si>
    <t>CP003</t>
  </si>
  <si>
    <t>VIGNV I</t>
  </si>
  <si>
    <t>ANEXO I 
ALTERAÇÃO DA LEI 4.616 DE 2006</t>
  </si>
  <si>
    <t>TABELA DE REMUNERAÇÃO DE CARGOS COMISSIONADOS DO PODER EXECUTIVO MUNICIPAL</t>
  </si>
  <si>
    <t>VALOR</t>
  </si>
  <si>
    <t>DAS</t>
  </si>
  <si>
    <t>DAS - 1</t>
  </si>
  <si>
    <t>DAS - 2</t>
  </si>
  <si>
    <t>DAS - 3</t>
  </si>
  <si>
    <t>DAS - 4</t>
  </si>
  <si>
    <t>DAS - 5</t>
  </si>
  <si>
    <t>DAS - 6</t>
  </si>
  <si>
    <t>DAS - 7</t>
  </si>
  <si>
    <t>DAI - 1</t>
  </si>
  <si>
    <t>DAI - 2</t>
  </si>
  <si>
    <t>DAI - 3</t>
  </si>
  <si>
    <t>DAI - 4</t>
  </si>
  <si>
    <t>DAI - 5</t>
  </si>
  <si>
    <t xml:space="preserve">ANEXO VIII </t>
  </si>
  <si>
    <t>ANEXO IX</t>
  </si>
  <si>
    <t>TABELA DE VENCIMENTO DOS SERVIDORES DETENTORES DE CARGO EFETIVO DE AUDITOR DE CONTROLE INTERNO (ACI)</t>
  </si>
  <si>
    <t>ANEXO III
ALTERAÇÃO DA LEI Nº 6.763 DE 24 DE MARÇO DE 2020</t>
  </si>
  <si>
    <t>TABELA DE VENCIMENTO DOS SERVIDORES DETENTORES DE CARGO EFETIVO DE ASSISTENTE DE AUDITOR INTERNO</t>
  </si>
  <si>
    <t>ANEXO IV
ALTERAÇÃO DA LEI Nº 6.407 DE DEZEMBRO DE 2018</t>
  </si>
  <si>
    <t>TABELA DE VENCIMENTO DOS SERVIDORES DETENTORES DE CARGO EFETIVO DE AUDITOR FISCAL DE TRIBUTOS DO MUNICÍPIO (AFTM)</t>
  </si>
  <si>
    <t>TABELA DE VENCIMENTO DOS SERVIDORES DETENTORES DE CARGO EFETIVO DE PROCURADOR DO MUNICÍPIO (PROC)</t>
  </si>
  <si>
    <t>ANEXO VI
ALTERAÇÃO DA LEI Nº 6.765 DE 24 DE MARÇO DE 2020</t>
  </si>
  <si>
    <t>ANEXO V
ALTERAÇÃO DA LEI Nº 6.764 DE 24 DE MARÇO DE 2020</t>
  </si>
  <si>
    <t>ANEXO VII</t>
  </si>
  <si>
    <t>TABELA DE VENCIMENTO DOS SERVIDORES DETENTORES DE CARGO EFETIVO DE TECNICO FISCAL URBANISMO</t>
  </si>
  <si>
    <t>SIMBOLOGIA</t>
  </si>
  <si>
    <t>ANEXO II
ALTERAÇÃO DA LEI 5.509 DE 2011</t>
  </si>
  <si>
    <t>ACI - 1</t>
  </si>
  <si>
    <t>ACI - 2</t>
  </si>
  <si>
    <t>ACI - 3</t>
  </si>
  <si>
    <t>ACI - 4</t>
  </si>
  <si>
    <t>ACI - 5</t>
  </si>
  <si>
    <t>ACI - 6</t>
  </si>
  <si>
    <t>ACI - 7</t>
  </si>
  <si>
    <t>ACI - 8</t>
  </si>
  <si>
    <t>ACI - 9</t>
  </si>
  <si>
    <t>ACI - 10</t>
  </si>
  <si>
    <t>VENCIMENTO (R$)</t>
  </si>
  <si>
    <t>AFTM - 1</t>
  </si>
  <si>
    <t>AFTM - 2</t>
  </si>
  <si>
    <t>AFTM - 3</t>
  </si>
  <si>
    <t>AFTM - 4</t>
  </si>
  <si>
    <t>AFTM - 5</t>
  </si>
  <si>
    <t>AFTM - 6</t>
  </si>
  <si>
    <t>AFTM - 7</t>
  </si>
  <si>
    <t>AFTM - 8</t>
  </si>
  <si>
    <t>AFTM - 9</t>
  </si>
  <si>
    <t>AFTM - 10</t>
  </si>
  <si>
    <t>PROC - 1</t>
  </si>
  <si>
    <t>PROC - 2</t>
  </si>
  <si>
    <t>PROC - 3</t>
  </si>
  <si>
    <t>PROC - 4</t>
  </si>
  <si>
    <t>PROC - 5</t>
  </si>
  <si>
    <t>PROC - 6</t>
  </si>
  <si>
    <t>PROC - 7</t>
  </si>
  <si>
    <t>PROC - 8</t>
  </si>
  <si>
    <t>PROC - 9</t>
  </si>
  <si>
    <t>PROC - 10</t>
  </si>
  <si>
    <t>SUB</t>
  </si>
  <si>
    <t>Anterior</t>
  </si>
  <si>
    <t>reajuste</t>
  </si>
  <si>
    <t>DAE</t>
  </si>
  <si>
    <t>REMUNERAÇÃO CONSELHEIRO TUTELAR</t>
  </si>
  <si>
    <t>Reajuste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</si>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</sst>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#,##0.00_ ;\-#,##0.00\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indexed="64"/>
      <name val="Microsoft Sans Serif"/>
      <family val="2"/>
    </font>
    <font>
      <b/>
      <sz val="12"/>
      <color indexed="6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</cellStyleXfs>
  <cellXfs count="84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43" fontId="0" fillId="0" borderId="1" xfId="1" applyFont="1" applyBorder="1"/>
    <xf numFmtId="0" fontId="0" fillId="0" borderId="0" xfId="0" applyAlignment="1">
      <alignment horizontal="center"/>
    </xf>
    <xf numFmtId="43" fontId="0" fillId="0" borderId="0" xfId="1" applyFont="1"/>
    <xf numFmtId="43" fontId="3" fillId="0" borderId="0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43" fontId="0" fillId="0" borderId="0" xfId="1" applyFont="1" applyBorder="1"/>
    <xf numFmtId="43" fontId="0" fillId="0" borderId="0" xfId="0" applyNumberFormat="1"/>
    <xf numFmtId="43" fontId="0" fillId="0" borderId="1" xfId="1" applyFont="1" applyBorder="1" applyAlignment="1">
      <alignment vertical="center"/>
    </xf>
    <xf numFmtId="4" fontId="0" fillId="0" borderId="0" xfId="0" applyNumberFormat="1"/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3" borderId="0" xfId="0" applyFont="1" applyFill="1"/>
    <xf numFmtId="43" fontId="8" fillId="3" borderId="0" xfId="1" applyFont="1" applyFill="1"/>
    <xf numFmtId="43" fontId="8" fillId="3" borderId="0" xfId="0" applyNumberFormat="1" applyFont="1" applyFill="1"/>
    <xf numFmtId="165" fontId="0" fillId="0" borderId="1" xfId="1" applyNumberFormat="1" applyFont="1" applyBorder="1"/>
    <xf numFmtId="0" fontId="10" fillId="4" borderId="1" xfId="0" applyFont="1" applyFill="1" applyBorder="1"/>
    <xf numFmtId="0" fontId="10" fillId="0" borderId="1" xfId="0" applyFont="1" applyBorder="1" applyAlignment="1">
      <alignment horizontal="center"/>
    </xf>
    <xf numFmtId="43" fontId="1" fillId="0" borderId="1" xfId="1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4" fontId="1" fillId="0" borderId="10" xfId="0" applyNumberFormat="1" applyFont="1" applyBorder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" fontId="1" fillId="2" borderId="10" xfId="0" applyNumberFormat="1" applyFont="1" applyFill="1" applyBorder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0" xfId="1" applyNumberFormat="1" applyFont="1"/>
    <xf numFmtId="0" fontId="0" fillId="6" borderId="0" xfId="0" applyFill="1"/>
    <xf numFmtId="0" fontId="1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6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0" xfId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3" fontId="0" fillId="0" borderId="0" xfId="1" applyFont="1" applyBorder="1" applyAlignment="1">
      <alignment vertical="center"/>
    </xf>
    <xf numFmtId="0" fontId="5" fillId="0" borderId="0" xfId="0" applyFont="1" applyAlignment="1">
      <alignment vertical="center"/>
    </xf>
    <xf numFmtId="43" fontId="2" fillId="0" borderId="1" xfId="1" applyFont="1" applyBorder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/>
    </xf>
    <xf numFmtId="43" fontId="1" fillId="0" borderId="1" xfId="1" applyFont="1" applyBorder="1" applyAlignment="1">
      <alignment horizontal="right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</cellXfs>
  <cellStyles count="5">
    <cellStyle name="Currency 2" xfId="2" xr:uid="{00000000-0005-0000-0000-000000000000}"/>
    <cellStyle name="Normal" xfId="0" builtinId="0"/>
    <cellStyle name="Normal 2" xfId="4" xr:uid="{00000000-0005-0000-0000-000002000000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0"/>
  <sheetViews>
    <sheetView showGridLines="0" workbookViewId="0">
      <selection sqref="A1:K1"/>
    </sheetView>
  </sheetViews>
  <sheetFormatPr defaultRowHeight="15" x14ac:dyDescent="0.25"/>
  <cols>
    <col min="1" max="1" width="7.140625" bestFit="1" customWidth="1"/>
    <col min="2" max="8" width="9.5703125" style="5" bestFit="1" customWidth="1"/>
    <col min="9" max="9" width="9.85546875" style="5" customWidth="1"/>
    <col min="10" max="11" width="9.5703125" style="5" bestFit="1" customWidth="1"/>
    <col min="257" max="257" width="7.140625" bestFit="1" customWidth="1"/>
    <col min="258" max="267" width="9.5703125" bestFit="1" customWidth="1"/>
    <col min="513" max="513" width="7.140625" bestFit="1" customWidth="1"/>
    <col min="514" max="523" width="9.5703125" bestFit="1" customWidth="1"/>
    <col min="769" max="769" width="7.140625" bestFit="1" customWidth="1"/>
    <col min="770" max="779" width="9.5703125" bestFit="1" customWidth="1"/>
    <col min="1025" max="1025" width="7.140625" bestFit="1" customWidth="1"/>
    <col min="1026" max="1035" width="9.5703125" bestFit="1" customWidth="1"/>
    <col min="1281" max="1281" width="7.140625" bestFit="1" customWidth="1"/>
    <col min="1282" max="1291" width="9.5703125" bestFit="1" customWidth="1"/>
    <col min="1537" max="1537" width="7.140625" bestFit="1" customWidth="1"/>
    <col min="1538" max="1547" width="9.5703125" bestFit="1" customWidth="1"/>
    <col min="1793" max="1793" width="7.140625" bestFit="1" customWidth="1"/>
    <col min="1794" max="1803" width="9.5703125" bestFit="1" customWidth="1"/>
    <col min="2049" max="2049" width="7.140625" bestFit="1" customWidth="1"/>
    <col min="2050" max="2059" width="9.5703125" bestFit="1" customWidth="1"/>
    <col min="2305" max="2305" width="7.140625" bestFit="1" customWidth="1"/>
    <col min="2306" max="2315" width="9.5703125" bestFit="1" customWidth="1"/>
    <col min="2561" max="2561" width="7.140625" bestFit="1" customWidth="1"/>
    <col min="2562" max="2571" width="9.5703125" bestFit="1" customWidth="1"/>
    <col min="2817" max="2817" width="7.140625" bestFit="1" customWidth="1"/>
    <col min="2818" max="2827" width="9.5703125" bestFit="1" customWidth="1"/>
    <col min="3073" max="3073" width="7.140625" bestFit="1" customWidth="1"/>
    <col min="3074" max="3083" width="9.5703125" bestFit="1" customWidth="1"/>
    <col min="3329" max="3329" width="7.140625" bestFit="1" customWidth="1"/>
    <col min="3330" max="3339" width="9.5703125" bestFit="1" customWidth="1"/>
    <col min="3585" max="3585" width="7.140625" bestFit="1" customWidth="1"/>
    <col min="3586" max="3595" width="9.5703125" bestFit="1" customWidth="1"/>
    <col min="3841" max="3841" width="7.140625" bestFit="1" customWidth="1"/>
    <col min="3842" max="3851" width="9.5703125" bestFit="1" customWidth="1"/>
    <col min="4097" max="4097" width="7.140625" bestFit="1" customWidth="1"/>
    <col min="4098" max="4107" width="9.5703125" bestFit="1" customWidth="1"/>
    <col min="4353" max="4353" width="7.140625" bestFit="1" customWidth="1"/>
    <col min="4354" max="4363" width="9.5703125" bestFit="1" customWidth="1"/>
    <col min="4609" max="4609" width="7.140625" bestFit="1" customWidth="1"/>
    <col min="4610" max="4619" width="9.5703125" bestFit="1" customWidth="1"/>
    <col min="4865" max="4865" width="7.140625" bestFit="1" customWidth="1"/>
    <col min="4866" max="4875" width="9.5703125" bestFit="1" customWidth="1"/>
    <col min="5121" max="5121" width="7.140625" bestFit="1" customWidth="1"/>
    <col min="5122" max="5131" width="9.5703125" bestFit="1" customWidth="1"/>
    <col min="5377" max="5377" width="7.140625" bestFit="1" customWidth="1"/>
    <col min="5378" max="5387" width="9.5703125" bestFit="1" customWidth="1"/>
    <col min="5633" max="5633" width="7.140625" bestFit="1" customWidth="1"/>
    <col min="5634" max="5643" width="9.5703125" bestFit="1" customWidth="1"/>
    <col min="5889" max="5889" width="7.140625" bestFit="1" customWidth="1"/>
    <col min="5890" max="5899" width="9.5703125" bestFit="1" customWidth="1"/>
    <col min="6145" max="6145" width="7.140625" bestFit="1" customWidth="1"/>
    <col min="6146" max="6155" width="9.5703125" bestFit="1" customWidth="1"/>
    <col min="6401" max="6401" width="7.140625" bestFit="1" customWidth="1"/>
    <col min="6402" max="6411" width="9.5703125" bestFit="1" customWidth="1"/>
    <col min="6657" max="6657" width="7.140625" bestFit="1" customWidth="1"/>
    <col min="6658" max="6667" width="9.5703125" bestFit="1" customWidth="1"/>
    <col min="6913" max="6913" width="7.140625" bestFit="1" customWidth="1"/>
    <col min="6914" max="6923" width="9.5703125" bestFit="1" customWidth="1"/>
    <col min="7169" max="7169" width="7.140625" bestFit="1" customWidth="1"/>
    <col min="7170" max="7179" width="9.5703125" bestFit="1" customWidth="1"/>
    <col min="7425" max="7425" width="7.140625" bestFit="1" customWidth="1"/>
    <col min="7426" max="7435" width="9.5703125" bestFit="1" customWidth="1"/>
    <col min="7681" max="7681" width="7.140625" bestFit="1" customWidth="1"/>
    <col min="7682" max="7691" width="9.5703125" bestFit="1" customWidth="1"/>
    <col min="7937" max="7937" width="7.140625" bestFit="1" customWidth="1"/>
    <col min="7938" max="7947" width="9.5703125" bestFit="1" customWidth="1"/>
    <col min="8193" max="8193" width="7.140625" bestFit="1" customWidth="1"/>
    <col min="8194" max="8203" width="9.5703125" bestFit="1" customWidth="1"/>
    <col min="8449" max="8449" width="7.140625" bestFit="1" customWidth="1"/>
    <col min="8450" max="8459" width="9.5703125" bestFit="1" customWidth="1"/>
    <col min="8705" max="8705" width="7.140625" bestFit="1" customWidth="1"/>
    <col min="8706" max="8715" width="9.5703125" bestFit="1" customWidth="1"/>
    <col min="8961" max="8961" width="7.140625" bestFit="1" customWidth="1"/>
    <col min="8962" max="8971" width="9.5703125" bestFit="1" customWidth="1"/>
    <col min="9217" max="9217" width="7.140625" bestFit="1" customWidth="1"/>
    <col min="9218" max="9227" width="9.5703125" bestFit="1" customWidth="1"/>
    <col min="9473" max="9473" width="7.140625" bestFit="1" customWidth="1"/>
    <col min="9474" max="9483" width="9.5703125" bestFit="1" customWidth="1"/>
    <col min="9729" max="9729" width="7.140625" bestFit="1" customWidth="1"/>
    <col min="9730" max="9739" width="9.5703125" bestFit="1" customWidth="1"/>
    <col min="9985" max="9985" width="7.140625" bestFit="1" customWidth="1"/>
    <col min="9986" max="9995" width="9.5703125" bestFit="1" customWidth="1"/>
    <col min="10241" max="10241" width="7.140625" bestFit="1" customWidth="1"/>
    <col min="10242" max="10251" width="9.5703125" bestFit="1" customWidth="1"/>
    <col min="10497" max="10497" width="7.140625" bestFit="1" customWidth="1"/>
    <col min="10498" max="10507" width="9.5703125" bestFit="1" customWidth="1"/>
    <col min="10753" max="10753" width="7.140625" bestFit="1" customWidth="1"/>
    <col min="10754" max="10763" width="9.5703125" bestFit="1" customWidth="1"/>
    <col min="11009" max="11009" width="7.140625" bestFit="1" customWidth="1"/>
    <col min="11010" max="11019" width="9.5703125" bestFit="1" customWidth="1"/>
    <col min="11265" max="11265" width="7.140625" bestFit="1" customWidth="1"/>
    <col min="11266" max="11275" width="9.5703125" bestFit="1" customWidth="1"/>
    <col min="11521" max="11521" width="7.140625" bestFit="1" customWidth="1"/>
    <col min="11522" max="11531" width="9.5703125" bestFit="1" customWidth="1"/>
    <col min="11777" max="11777" width="7.140625" bestFit="1" customWidth="1"/>
    <col min="11778" max="11787" width="9.5703125" bestFit="1" customWidth="1"/>
    <col min="12033" max="12033" width="7.140625" bestFit="1" customWidth="1"/>
    <col min="12034" max="12043" width="9.5703125" bestFit="1" customWidth="1"/>
    <col min="12289" max="12289" width="7.140625" bestFit="1" customWidth="1"/>
    <col min="12290" max="12299" width="9.5703125" bestFit="1" customWidth="1"/>
    <col min="12545" max="12545" width="7.140625" bestFit="1" customWidth="1"/>
    <col min="12546" max="12555" width="9.5703125" bestFit="1" customWidth="1"/>
    <col min="12801" max="12801" width="7.140625" bestFit="1" customWidth="1"/>
    <col min="12802" max="12811" width="9.5703125" bestFit="1" customWidth="1"/>
    <col min="13057" max="13057" width="7.140625" bestFit="1" customWidth="1"/>
    <col min="13058" max="13067" width="9.5703125" bestFit="1" customWidth="1"/>
    <col min="13313" max="13313" width="7.140625" bestFit="1" customWidth="1"/>
    <col min="13314" max="13323" width="9.5703125" bestFit="1" customWidth="1"/>
    <col min="13569" max="13569" width="7.140625" bestFit="1" customWidth="1"/>
    <col min="13570" max="13579" width="9.5703125" bestFit="1" customWidth="1"/>
    <col min="13825" max="13825" width="7.140625" bestFit="1" customWidth="1"/>
    <col min="13826" max="13835" width="9.5703125" bestFit="1" customWidth="1"/>
    <col min="14081" max="14081" width="7.140625" bestFit="1" customWidth="1"/>
    <col min="14082" max="14091" width="9.5703125" bestFit="1" customWidth="1"/>
    <col min="14337" max="14337" width="7.140625" bestFit="1" customWidth="1"/>
    <col min="14338" max="14347" width="9.5703125" bestFit="1" customWidth="1"/>
    <col min="14593" max="14593" width="7.140625" bestFit="1" customWidth="1"/>
    <col min="14594" max="14603" width="9.5703125" bestFit="1" customWidth="1"/>
    <col min="14849" max="14849" width="7.140625" bestFit="1" customWidth="1"/>
    <col min="14850" max="14859" width="9.5703125" bestFit="1" customWidth="1"/>
    <col min="15105" max="15105" width="7.140625" bestFit="1" customWidth="1"/>
    <col min="15106" max="15115" width="9.5703125" bestFit="1" customWidth="1"/>
    <col min="15361" max="15361" width="7.140625" bestFit="1" customWidth="1"/>
    <col min="15362" max="15371" width="9.5703125" bestFit="1" customWidth="1"/>
    <col min="15617" max="15617" width="7.140625" bestFit="1" customWidth="1"/>
    <col min="15618" max="15627" width="9.5703125" bestFit="1" customWidth="1"/>
    <col min="15873" max="15873" width="7.140625" bestFit="1" customWidth="1"/>
    <col min="15874" max="15883" width="9.5703125" bestFit="1" customWidth="1"/>
    <col min="16129" max="16129" width="7.140625" bestFit="1" customWidth="1"/>
    <col min="16130" max="16139" width="9.5703125" bestFit="1" customWidth="1"/>
  </cols>
  <sheetData>
    <row r="1" spans="1:11" ht="33" customHeight="1" x14ac:dyDescent="0.25">
      <c r="A1" s="60" t="s">
        <v>106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9" customHeight="1" thickBo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5.75" thickBot="1" x14ac:dyDescent="0.3">
      <c r="A3" s="62" t="s">
        <v>18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x14ac:dyDescent="0.25">
      <c r="A4" s="4"/>
    </row>
    <row r="5" spans="1:11" x14ac:dyDescent="0.25">
      <c r="A5" s="2" t="s">
        <v>19</v>
      </c>
      <c r="B5" s="7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</row>
    <row r="6" spans="1:11" s="46" customFormat="1" ht="20.100000000000001" customHeight="1" x14ac:dyDescent="0.25">
      <c r="A6" s="38" t="s">
        <v>8</v>
      </c>
      <c r="B6" s="10">
        <f>B27*6%+B27</f>
        <v>782.41779999999994</v>
      </c>
      <c r="C6" s="10">
        <f t="shared" ref="C6:K6" si="0">C27*6%+C27</f>
        <v>801.95359999999994</v>
      </c>
      <c r="D6" s="10">
        <f t="shared" si="0"/>
        <v>822.03</v>
      </c>
      <c r="E6" s="10">
        <f t="shared" si="0"/>
        <v>842.56219999999996</v>
      </c>
      <c r="F6" s="10">
        <f t="shared" si="0"/>
        <v>863.61379999999997</v>
      </c>
      <c r="G6" s="10">
        <f t="shared" si="0"/>
        <v>885.23779999999999</v>
      </c>
      <c r="H6" s="10">
        <f t="shared" si="0"/>
        <v>907.36</v>
      </c>
      <c r="I6" s="10">
        <f t="shared" si="0"/>
        <v>930.05459999999994</v>
      </c>
      <c r="J6" s="10">
        <f t="shared" si="0"/>
        <v>953.28980000000001</v>
      </c>
      <c r="K6" s="10">
        <f t="shared" si="0"/>
        <v>977.10799999999995</v>
      </c>
    </row>
    <row r="7" spans="1:11" s="46" customFormat="1" ht="20.100000000000001" customHeight="1" x14ac:dyDescent="0.25">
      <c r="A7" s="38" t="s">
        <v>10</v>
      </c>
      <c r="B7" s="10">
        <f>B28*6%+B28</f>
        <v>863.61379999999997</v>
      </c>
      <c r="C7" s="10">
        <f t="shared" ref="C7:K7" si="1">C28*6%+C28</f>
        <v>885.23779999999999</v>
      </c>
      <c r="D7" s="10">
        <f t="shared" si="1"/>
        <v>907.36</v>
      </c>
      <c r="E7" s="10">
        <f t="shared" si="1"/>
        <v>930.05459999999994</v>
      </c>
      <c r="F7" s="10">
        <f t="shared" si="1"/>
        <v>953.30040000000008</v>
      </c>
      <c r="G7" s="10">
        <f t="shared" si="1"/>
        <v>977.15039999999999</v>
      </c>
      <c r="H7" s="10">
        <f t="shared" si="1"/>
        <v>1001.5516</v>
      </c>
      <c r="I7" s="10">
        <f t="shared" si="1"/>
        <v>1026.6099999999999</v>
      </c>
      <c r="J7" s="10">
        <f t="shared" si="1"/>
        <v>1052.2832000000001</v>
      </c>
      <c r="K7" s="10">
        <f t="shared" si="1"/>
        <v>1078.5394000000001</v>
      </c>
    </row>
    <row r="8" spans="1:11" s="46" customFormat="1" ht="20.100000000000001" customHeight="1" x14ac:dyDescent="0.25">
      <c r="A8" s="38" t="s">
        <v>11</v>
      </c>
      <c r="B8" s="10">
        <f>B29*6%+B29</f>
        <v>953.30040000000008</v>
      </c>
      <c r="C8" s="10">
        <f t="shared" ref="C8:K8" si="2">C29*6%+C29</f>
        <v>977.15039999999999</v>
      </c>
      <c r="D8" s="10">
        <f t="shared" si="2"/>
        <v>1001.5728</v>
      </c>
      <c r="E8" s="10">
        <f t="shared" si="2"/>
        <v>1026.6099999999999</v>
      </c>
      <c r="F8" s="10">
        <f t="shared" si="2"/>
        <v>1052.2832000000001</v>
      </c>
      <c r="G8" s="10">
        <f t="shared" si="2"/>
        <v>1078.6030000000001</v>
      </c>
      <c r="H8" s="10">
        <f t="shared" si="2"/>
        <v>1105.5482</v>
      </c>
      <c r="I8" s="10">
        <f t="shared" si="2"/>
        <v>1133.1612</v>
      </c>
      <c r="J8" s="10">
        <f t="shared" si="2"/>
        <v>1161.5373999999999</v>
      </c>
      <c r="K8" s="10">
        <f t="shared" si="2"/>
        <v>1190.5602000000001</v>
      </c>
    </row>
    <row r="9" spans="1:11" s="46" customFormat="1" ht="20.100000000000001" customHeight="1" x14ac:dyDescent="0.25">
      <c r="A9" s="38" t="s">
        <v>20</v>
      </c>
      <c r="B9" s="10">
        <f>B30*6%+B30</f>
        <v>1052.2937999999999</v>
      </c>
      <c r="C9" s="10">
        <f t="shared" ref="C9:K9" si="3">C30*6%+C30</f>
        <v>1078.6030000000001</v>
      </c>
      <c r="D9" s="10">
        <f t="shared" si="3"/>
        <v>1105.5588</v>
      </c>
      <c r="E9" s="10">
        <f t="shared" si="3"/>
        <v>1133.193</v>
      </c>
      <c r="F9" s="10">
        <f t="shared" si="3"/>
        <v>1161.548</v>
      </c>
      <c r="G9" s="10">
        <f t="shared" si="3"/>
        <v>1190.5814</v>
      </c>
      <c r="H9" s="10">
        <f t="shared" si="3"/>
        <v>1220.3038000000001</v>
      </c>
      <c r="I9" s="10">
        <f t="shared" si="3"/>
        <v>1250.8317999999999</v>
      </c>
      <c r="J9" s="10">
        <f t="shared" si="3"/>
        <v>1282.0912000000001</v>
      </c>
      <c r="K9" s="10">
        <f t="shared" si="3"/>
        <v>1314.1668</v>
      </c>
    </row>
    <row r="10" spans="1:11" s="46" customFormat="1" ht="20.100000000000001" customHeight="1" x14ac:dyDescent="0.25">
      <c r="A10" s="38" t="s">
        <v>21</v>
      </c>
      <c r="B10" s="10">
        <f>B31*6%+B31</f>
        <v>1161.548</v>
      </c>
      <c r="C10" s="10">
        <f t="shared" ref="C10:K10" si="4">C31*6%+C31</f>
        <v>1190.5814</v>
      </c>
      <c r="D10" s="10">
        <f t="shared" si="4"/>
        <v>1220.3144</v>
      </c>
      <c r="E10" s="10">
        <f t="shared" si="4"/>
        <v>1250.8635999999999</v>
      </c>
      <c r="F10" s="10">
        <f t="shared" si="4"/>
        <v>1282.0912000000001</v>
      </c>
      <c r="G10" s="10">
        <f t="shared" si="4"/>
        <v>1314.1668</v>
      </c>
      <c r="H10" s="10">
        <f t="shared" si="4"/>
        <v>1346.9949999999999</v>
      </c>
      <c r="I10" s="10">
        <f t="shared" si="4"/>
        <v>1380.703</v>
      </c>
      <c r="J10" s="10">
        <f t="shared" si="4"/>
        <v>1415.2166</v>
      </c>
      <c r="K10" s="10">
        <f t="shared" si="4"/>
        <v>1450.6312</v>
      </c>
    </row>
    <row r="11" spans="1:11" x14ac:dyDescent="0.25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25">
      <c r="A12" s="4"/>
    </row>
    <row r="13" spans="1:11" x14ac:dyDescent="0.25">
      <c r="A13" s="2" t="s">
        <v>19</v>
      </c>
      <c r="B13" s="7" t="s">
        <v>0</v>
      </c>
      <c r="C13" s="7" t="s">
        <v>1</v>
      </c>
      <c r="D13" s="7" t="s">
        <v>2</v>
      </c>
      <c r="E13" s="7" t="s">
        <v>3</v>
      </c>
      <c r="F13" s="7" t="s">
        <v>4</v>
      </c>
      <c r="G13" s="7" t="s">
        <v>5</v>
      </c>
      <c r="H13" s="7" t="s">
        <v>6</v>
      </c>
      <c r="I13" s="7" t="s">
        <v>7</v>
      </c>
      <c r="J13" s="7" t="s">
        <v>8</v>
      </c>
      <c r="K13" s="7" t="s">
        <v>9</v>
      </c>
    </row>
    <row r="14" spans="1:11" s="46" customFormat="1" ht="20.100000000000001" customHeight="1" x14ac:dyDescent="0.25">
      <c r="A14" s="38" t="s">
        <v>22</v>
      </c>
      <c r="B14" s="10">
        <f>B35*6%+B35</f>
        <v>1115.8302000000001</v>
      </c>
      <c r="C14" s="10">
        <f t="shared" ref="C14:K14" si="5">C35*6%+C35</f>
        <v>1143.74</v>
      </c>
      <c r="D14" s="10">
        <f t="shared" si="5"/>
        <v>1172.3388</v>
      </c>
      <c r="E14" s="10">
        <f t="shared" si="5"/>
        <v>1201.6902</v>
      </c>
      <c r="F14" s="10">
        <f t="shared" si="5"/>
        <v>1231.6988000000001</v>
      </c>
      <c r="G14" s="10">
        <f t="shared" si="5"/>
        <v>1262.5023999999999</v>
      </c>
      <c r="H14" s="10">
        <f t="shared" si="5"/>
        <v>1294.0373999999999</v>
      </c>
      <c r="I14" s="10">
        <f t="shared" si="5"/>
        <v>1326.4204</v>
      </c>
      <c r="J14" s="10">
        <f t="shared" si="5"/>
        <v>1359.5559999999998</v>
      </c>
      <c r="K14" s="10">
        <f t="shared" si="5"/>
        <v>1393.5184000000002</v>
      </c>
    </row>
    <row r="15" spans="1:11" s="46" customFormat="1" ht="20.100000000000001" customHeight="1" x14ac:dyDescent="0.25">
      <c r="A15" s="38" t="s">
        <v>23</v>
      </c>
      <c r="B15" s="10">
        <f>B36*6%+B36</f>
        <v>1428.35</v>
      </c>
      <c r="C15" s="10">
        <f t="shared" ref="C15:K15" si="6">C36*6%+C36</f>
        <v>1464.0508</v>
      </c>
      <c r="D15" s="10">
        <f t="shared" si="6"/>
        <v>1500.6844000000001</v>
      </c>
      <c r="E15" s="10">
        <f t="shared" si="6"/>
        <v>1538.1978000000001</v>
      </c>
      <c r="F15" s="10">
        <f t="shared" si="6"/>
        <v>1576.6652000000001</v>
      </c>
      <c r="G15" s="10">
        <f t="shared" si="6"/>
        <v>1616.0654</v>
      </c>
      <c r="H15" s="10">
        <f t="shared" si="6"/>
        <v>1656.4832000000001</v>
      </c>
      <c r="I15" s="10">
        <f t="shared" si="6"/>
        <v>1697.8868</v>
      </c>
      <c r="J15" s="10">
        <f t="shared" si="6"/>
        <v>1740.3398</v>
      </c>
      <c r="K15" s="10">
        <f t="shared" si="6"/>
        <v>1783.8316</v>
      </c>
    </row>
    <row r="16" spans="1:11" s="46" customFormat="1" ht="20.100000000000001" customHeight="1" x14ac:dyDescent="0.25">
      <c r="A16" s="38" t="s">
        <v>16</v>
      </c>
      <c r="B16" s="10">
        <f>B37*6%+B37</f>
        <v>1828.4470000000001</v>
      </c>
      <c r="C16" s="10">
        <f t="shared" ref="C16:K16" si="7">C37*6%+C37</f>
        <v>1874.1859999999999</v>
      </c>
      <c r="D16" s="10">
        <f t="shared" si="7"/>
        <v>1921.0062</v>
      </c>
      <c r="E16" s="10">
        <f t="shared" si="7"/>
        <v>1969.0347999999999</v>
      </c>
      <c r="F16" s="10">
        <f t="shared" si="7"/>
        <v>2018.2506000000001</v>
      </c>
      <c r="G16" s="10">
        <f t="shared" si="7"/>
        <v>2068.7384000000002</v>
      </c>
      <c r="H16" s="10">
        <f t="shared" si="7"/>
        <v>2120.424</v>
      </c>
      <c r="I16" s="10">
        <f t="shared" si="7"/>
        <v>2173.4452000000001</v>
      </c>
      <c r="J16" s="10">
        <f t="shared" si="7"/>
        <v>2227.7914000000001</v>
      </c>
      <c r="K16" s="10">
        <f t="shared" si="7"/>
        <v>2283.4625999999998</v>
      </c>
    </row>
    <row r="17" spans="1:23" x14ac:dyDescent="0.25">
      <c r="A17" s="4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23" x14ac:dyDescent="0.25">
      <c r="A18" s="4"/>
    </row>
    <row r="19" spans="1:23" x14ac:dyDescent="0.25">
      <c r="A19" s="2" t="s">
        <v>19</v>
      </c>
      <c r="B19" s="7" t="s">
        <v>0</v>
      </c>
      <c r="C19" s="7" t="s">
        <v>1</v>
      </c>
      <c r="D19" s="7" t="s">
        <v>2</v>
      </c>
      <c r="E19" s="7" t="s">
        <v>3</v>
      </c>
      <c r="F19" s="7" t="s">
        <v>4</v>
      </c>
      <c r="G19" s="7" t="s">
        <v>5</v>
      </c>
      <c r="H19" s="7" t="s">
        <v>6</v>
      </c>
      <c r="I19" s="7" t="s">
        <v>7</v>
      </c>
      <c r="J19" s="7" t="s">
        <v>8</v>
      </c>
      <c r="K19" s="7" t="s">
        <v>9</v>
      </c>
    </row>
    <row r="20" spans="1:23" s="46" customFormat="1" ht="20.100000000000001" customHeight="1" x14ac:dyDescent="0.25">
      <c r="A20" s="38" t="s">
        <v>24</v>
      </c>
      <c r="B20" s="10">
        <f>B41*6%+B41</f>
        <v>2615.3168000000001</v>
      </c>
      <c r="C20" s="10">
        <f t="shared" ref="C20:K20" si="8">C41*6%+C41</f>
        <v>2706.8371999999999</v>
      </c>
      <c r="D20" s="10">
        <f t="shared" si="8"/>
        <v>2801.5906000000004</v>
      </c>
      <c r="E20" s="10">
        <f t="shared" si="8"/>
        <v>2899.6406000000002</v>
      </c>
      <c r="F20" s="10">
        <f t="shared" si="8"/>
        <v>3001.1356000000001</v>
      </c>
      <c r="G20" s="10">
        <f t="shared" si="8"/>
        <v>3106.1604000000002</v>
      </c>
      <c r="H20" s="10">
        <f t="shared" si="8"/>
        <v>3214.8740000000003</v>
      </c>
      <c r="I20" s="10">
        <f t="shared" si="8"/>
        <v>3327.4142000000002</v>
      </c>
      <c r="J20" s="10">
        <f t="shared" si="8"/>
        <v>3443.8552</v>
      </c>
      <c r="K20" s="10">
        <f t="shared" si="8"/>
        <v>3564.4302000000002</v>
      </c>
    </row>
    <row r="21" spans="1:23" s="46" customFormat="1" ht="20.100000000000001" customHeight="1" x14ac:dyDescent="0.25">
      <c r="A21" s="38" t="s">
        <v>25</v>
      </c>
      <c r="B21" s="10">
        <f>B42*6%+B42</f>
        <v>3689.1286</v>
      </c>
      <c r="C21" s="10">
        <f t="shared" ref="C21:K21" si="9">C42*6%+C42</f>
        <v>3818.3107999999997</v>
      </c>
      <c r="D21" s="10">
        <f t="shared" si="9"/>
        <v>3951.9238</v>
      </c>
      <c r="E21" s="10">
        <f t="shared" si="9"/>
        <v>4090.2325999999998</v>
      </c>
      <c r="F21" s="10">
        <f t="shared" si="9"/>
        <v>4233.3856000000005</v>
      </c>
      <c r="G21" s="10">
        <f t="shared" si="9"/>
        <v>4381.5630000000001</v>
      </c>
      <c r="H21" s="10">
        <f t="shared" si="9"/>
        <v>4534.9449999999997</v>
      </c>
      <c r="I21" s="10">
        <f t="shared" si="9"/>
        <v>4693.6269999999995</v>
      </c>
      <c r="J21" s="10">
        <f t="shared" si="9"/>
        <v>4857.9163999999992</v>
      </c>
      <c r="K21" s="10">
        <f t="shared" si="9"/>
        <v>5027.9615999999996</v>
      </c>
    </row>
    <row r="22" spans="1:23" s="46" customFormat="1" ht="20.100000000000001" customHeight="1" x14ac:dyDescent="0.25">
      <c r="A22" s="38" t="s">
        <v>26</v>
      </c>
      <c r="B22" s="10">
        <f>B43*6%+B43</f>
        <v>5203.9427999999998</v>
      </c>
      <c r="C22" s="10">
        <f t="shared" ref="C22:J22" si="10">C43*6%+C43</f>
        <v>5386.0720000000001</v>
      </c>
      <c r="D22" s="10">
        <f t="shared" si="10"/>
        <v>5574.5506000000005</v>
      </c>
      <c r="E22" s="10">
        <f t="shared" si="10"/>
        <v>5769.6647999999996</v>
      </c>
      <c r="F22" s="10">
        <f t="shared" si="10"/>
        <v>5971.6265999999996</v>
      </c>
      <c r="G22" s="10">
        <f t="shared" si="10"/>
        <v>6180.6373999999996</v>
      </c>
      <c r="H22" s="10">
        <f t="shared" si="10"/>
        <v>6396.9621999999999</v>
      </c>
      <c r="I22" s="10">
        <f t="shared" si="10"/>
        <v>6620.8447999999999</v>
      </c>
      <c r="J22" s="10">
        <f t="shared" si="10"/>
        <v>6852.6032000000005</v>
      </c>
      <c r="K22" s="10">
        <f>K43*6%+K43</f>
        <v>7092.4175999999998</v>
      </c>
    </row>
    <row r="23" spans="1:23" s="46" customFormat="1" ht="20.100000000000001" customHeight="1" x14ac:dyDescent="0.25">
      <c r="A23" s="22"/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23" s="46" customFormat="1" ht="20.100000000000001" customHeight="1" x14ac:dyDescent="0.25">
      <c r="B24" s="50"/>
      <c r="C24" s="50"/>
      <c r="D24" s="50"/>
      <c r="E24" s="50"/>
      <c r="F24" s="50"/>
      <c r="G24" s="50"/>
      <c r="H24" s="50"/>
      <c r="I24" s="50"/>
      <c r="J24" s="50"/>
      <c r="K24" s="50"/>
    </row>
    <row r="25" spans="1:23" s="14" customFormat="1" hidden="1" x14ac:dyDescent="0.25">
      <c r="B25" s="15"/>
      <c r="C25" s="15"/>
      <c r="D25" s="15"/>
      <c r="E25" s="15"/>
      <c r="F25" s="15"/>
      <c r="G25" s="15"/>
      <c r="H25" s="15"/>
      <c r="I25" s="15"/>
      <c r="J25" s="15"/>
      <c r="K25" s="15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idden="1" x14ac:dyDescent="0.25">
      <c r="A26" s="2" t="s">
        <v>19</v>
      </c>
      <c r="B26" s="7" t="s">
        <v>0</v>
      </c>
      <c r="C26" s="7" t="s">
        <v>1</v>
      </c>
      <c r="D26" s="7" t="s">
        <v>2</v>
      </c>
      <c r="E26" s="7" t="s">
        <v>3</v>
      </c>
      <c r="F26" s="7" t="s">
        <v>4</v>
      </c>
      <c r="G26" s="7" t="s">
        <v>5</v>
      </c>
      <c r="H26" s="7" t="s">
        <v>6</v>
      </c>
      <c r="I26" s="7" t="s">
        <v>7</v>
      </c>
      <c r="J26" s="7" t="s">
        <v>8</v>
      </c>
      <c r="K26" s="7" t="s">
        <v>9</v>
      </c>
    </row>
    <row r="27" spans="1:23" hidden="1" x14ac:dyDescent="0.25">
      <c r="A27" s="2" t="s">
        <v>8</v>
      </c>
      <c r="B27" s="3">
        <v>738.13</v>
      </c>
      <c r="C27" s="17">
        <v>756.56</v>
      </c>
      <c r="D27" s="3">
        <v>775.5</v>
      </c>
      <c r="E27" s="3">
        <v>794.87</v>
      </c>
      <c r="F27" s="3">
        <v>814.73</v>
      </c>
      <c r="G27" s="3">
        <v>835.13</v>
      </c>
      <c r="H27" s="3">
        <v>856</v>
      </c>
      <c r="I27" s="3">
        <v>877.41</v>
      </c>
      <c r="J27" s="3">
        <v>899.33</v>
      </c>
      <c r="K27" s="3">
        <v>921.8</v>
      </c>
    </row>
    <row r="28" spans="1:23" hidden="1" x14ac:dyDescent="0.25">
      <c r="A28" s="2" t="s">
        <v>10</v>
      </c>
      <c r="B28" s="3">
        <v>814.73</v>
      </c>
      <c r="C28" s="3">
        <v>835.13</v>
      </c>
      <c r="D28" s="3">
        <v>856</v>
      </c>
      <c r="E28" s="3">
        <v>877.41</v>
      </c>
      <c r="F28" s="3">
        <v>899.34</v>
      </c>
      <c r="G28" s="3">
        <v>921.84</v>
      </c>
      <c r="H28" s="3">
        <v>944.86</v>
      </c>
      <c r="I28" s="3">
        <v>968.5</v>
      </c>
      <c r="J28" s="3">
        <v>992.72</v>
      </c>
      <c r="K28" s="3">
        <v>1017.49</v>
      </c>
    </row>
    <row r="29" spans="1:23" hidden="1" x14ac:dyDescent="0.25">
      <c r="A29" s="2" t="s">
        <v>11</v>
      </c>
      <c r="B29" s="3">
        <v>899.34</v>
      </c>
      <c r="C29" s="3">
        <v>921.84</v>
      </c>
      <c r="D29" s="3">
        <v>944.88</v>
      </c>
      <c r="E29" s="3">
        <v>968.5</v>
      </c>
      <c r="F29" s="3">
        <v>992.72</v>
      </c>
      <c r="G29" s="3">
        <v>1017.55</v>
      </c>
      <c r="H29" s="3">
        <v>1042.97</v>
      </c>
      <c r="I29" s="3">
        <v>1069.02</v>
      </c>
      <c r="J29" s="3">
        <v>1095.79</v>
      </c>
      <c r="K29" s="3">
        <v>1123.17</v>
      </c>
    </row>
    <row r="30" spans="1:23" hidden="1" x14ac:dyDescent="0.25">
      <c r="A30" s="2" t="s">
        <v>20</v>
      </c>
      <c r="B30" s="3">
        <v>992.73</v>
      </c>
      <c r="C30" s="3">
        <v>1017.55</v>
      </c>
      <c r="D30" s="3">
        <v>1042.98</v>
      </c>
      <c r="E30" s="3">
        <v>1069.05</v>
      </c>
      <c r="F30" s="3">
        <v>1095.8</v>
      </c>
      <c r="G30" s="3">
        <v>1123.19</v>
      </c>
      <c r="H30" s="3">
        <v>1151.23</v>
      </c>
      <c r="I30" s="3">
        <v>1180.03</v>
      </c>
      <c r="J30" s="3">
        <v>1209.52</v>
      </c>
      <c r="K30" s="3">
        <v>1239.78</v>
      </c>
    </row>
    <row r="31" spans="1:23" hidden="1" x14ac:dyDescent="0.25">
      <c r="A31" s="2" t="s">
        <v>21</v>
      </c>
      <c r="B31" s="3">
        <v>1095.8</v>
      </c>
      <c r="C31" s="3">
        <v>1123.19</v>
      </c>
      <c r="D31" s="3">
        <v>1151.24</v>
      </c>
      <c r="E31" s="3">
        <v>1180.06</v>
      </c>
      <c r="F31" s="3">
        <v>1209.52</v>
      </c>
      <c r="G31" s="3">
        <v>1239.78</v>
      </c>
      <c r="H31" s="3">
        <v>1270.75</v>
      </c>
      <c r="I31" s="3">
        <v>1302.55</v>
      </c>
      <c r="J31" s="3">
        <v>1335.11</v>
      </c>
      <c r="K31" s="3">
        <v>1368.52</v>
      </c>
    </row>
    <row r="32" spans="1:23" hidden="1" x14ac:dyDescent="0.25">
      <c r="A32" s="4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23" hidden="1" x14ac:dyDescent="0.25">
      <c r="A33" s="4"/>
    </row>
    <row r="34" spans="1:23" hidden="1" x14ac:dyDescent="0.25">
      <c r="A34" s="2" t="s">
        <v>19</v>
      </c>
      <c r="B34" s="7" t="s">
        <v>0</v>
      </c>
      <c r="C34" s="7" t="s">
        <v>1</v>
      </c>
      <c r="D34" s="7" t="s">
        <v>2</v>
      </c>
      <c r="E34" s="7" t="s">
        <v>3</v>
      </c>
      <c r="F34" s="7" t="s">
        <v>4</v>
      </c>
      <c r="G34" s="7" t="s">
        <v>5</v>
      </c>
      <c r="H34" s="7" t="s">
        <v>6</v>
      </c>
      <c r="I34" s="7" t="s">
        <v>7</v>
      </c>
      <c r="J34" s="7" t="s">
        <v>8</v>
      </c>
      <c r="K34" s="7" t="s">
        <v>9</v>
      </c>
    </row>
    <row r="35" spans="1:23" hidden="1" x14ac:dyDescent="0.25">
      <c r="A35" s="2" t="s">
        <v>22</v>
      </c>
      <c r="B35" s="3">
        <v>1052.67</v>
      </c>
      <c r="C35" s="3">
        <v>1079</v>
      </c>
      <c r="D35" s="3">
        <v>1105.98</v>
      </c>
      <c r="E35" s="3">
        <v>1133.67</v>
      </c>
      <c r="F35" s="3">
        <v>1161.98</v>
      </c>
      <c r="G35" s="3">
        <v>1191.04</v>
      </c>
      <c r="H35" s="3">
        <v>1220.79</v>
      </c>
      <c r="I35" s="3">
        <v>1251.3399999999999</v>
      </c>
      <c r="J35" s="3">
        <v>1282.5999999999999</v>
      </c>
      <c r="K35" s="3">
        <v>1314.64</v>
      </c>
    </row>
    <row r="36" spans="1:23" hidden="1" x14ac:dyDescent="0.25">
      <c r="A36" s="2" t="s">
        <v>23</v>
      </c>
      <c r="B36" s="3">
        <v>1347.5</v>
      </c>
      <c r="C36" s="3">
        <v>1381.18</v>
      </c>
      <c r="D36" s="3">
        <v>1415.74</v>
      </c>
      <c r="E36" s="3">
        <v>1451.13</v>
      </c>
      <c r="F36" s="3">
        <v>1487.42</v>
      </c>
      <c r="G36" s="3">
        <v>1524.59</v>
      </c>
      <c r="H36" s="3">
        <v>1562.72</v>
      </c>
      <c r="I36" s="3">
        <v>1601.78</v>
      </c>
      <c r="J36" s="3">
        <v>1641.83</v>
      </c>
      <c r="K36" s="3">
        <v>1682.86</v>
      </c>
    </row>
    <row r="37" spans="1:23" hidden="1" x14ac:dyDescent="0.25">
      <c r="A37" s="2" t="s">
        <v>16</v>
      </c>
      <c r="B37" s="3">
        <v>1724.95</v>
      </c>
      <c r="C37" s="3">
        <v>1768.1</v>
      </c>
      <c r="D37" s="3">
        <v>1812.27</v>
      </c>
      <c r="E37" s="3">
        <v>1857.58</v>
      </c>
      <c r="F37" s="3">
        <v>1904.01</v>
      </c>
      <c r="G37" s="3">
        <v>1951.64</v>
      </c>
      <c r="H37" s="3">
        <v>2000.4</v>
      </c>
      <c r="I37" s="3">
        <v>2050.42</v>
      </c>
      <c r="J37" s="3">
        <v>2101.69</v>
      </c>
      <c r="K37" s="3">
        <v>2154.21</v>
      </c>
    </row>
    <row r="38" spans="1:23" hidden="1" x14ac:dyDescent="0.25">
      <c r="A38" s="4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23" hidden="1" x14ac:dyDescent="0.25">
      <c r="A39" s="4"/>
    </row>
    <row r="40" spans="1:23" hidden="1" x14ac:dyDescent="0.25">
      <c r="A40" s="2" t="s">
        <v>19</v>
      </c>
      <c r="B40" s="7" t="s">
        <v>0</v>
      </c>
      <c r="C40" s="7" t="s">
        <v>1</v>
      </c>
      <c r="D40" s="7" t="s">
        <v>2</v>
      </c>
      <c r="E40" s="7" t="s">
        <v>3</v>
      </c>
      <c r="F40" s="7" t="s">
        <v>4</v>
      </c>
      <c r="G40" s="7" t="s">
        <v>5</v>
      </c>
      <c r="H40" s="7" t="s">
        <v>6</v>
      </c>
      <c r="I40" s="7" t="s">
        <v>7</v>
      </c>
      <c r="J40" s="7" t="s">
        <v>8</v>
      </c>
      <c r="K40" s="7" t="s">
        <v>9</v>
      </c>
    </row>
    <row r="41" spans="1:23" hidden="1" x14ac:dyDescent="0.25">
      <c r="A41" s="2" t="s">
        <v>24</v>
      </c>
      <c r="B41" s="3">
        <v>2467.2800000000002</v>
      </c>
      <c r="C41" s="3">
        <v>2553.62</v>
      </c>
      <c r="D41" s="3">
        <v>2643.01</v>
      </c>
      <c r="E41" s="3">
        <v>2735.51</v>
      </c>
      <c r="F41" s="3">
        <v>2831.26</v>
      </c>
      <c r="G41" s="3">
        <v>2930.34</v>
      </c>
      <c r="H41" s="3">
        <v>3032.9</v>
      </c>
      <c r="I41" s="3">
        <v>3139.07</v>
      </c>
      <c r="J41" s="3">
        <v>3248.92</v>
      </c>
      <c r="K41" s="3">
        <v>3362.67</v>
      </c>
    </row>
    <row r="42" spans="1:23" hidden="1" x14ac:dyDescent="0.25">
      <c r="A42" s="2" t="s">
        <v>25</v>
      </c>
      <c r="B42" s="3">
        <v>3480.31</v>
      </c>
      <c r="C42" s="3">
        <v>3602.18</v>
      </c>
      <c r="D42" s="3">
        <v>3728.23</v>
      </c>
      <c r="E42" s="3">
        <v>3858.71</v>
      </c>
      <c r="F42" s="3">
        <v>3993.76</v>
      </c>
      <c r="G42" s="3">
        <v>4133.55</v>
      </c>
      <c r="H42" s="3">
        <v>4278.25</v>
      </c>
      <c r="I42" s="3">
        <v>4427.95</v>
      </c>
      <c r="J42" s="3">
        <v>4582.9399999999996</v>
      </c>
      <c r="K42" s="3">
        <v>4743.3599999999997</v>
      </c>
    </row>
    <row r="43" spans="1:23" hidden="1" x14ac:dyDescent="0.25">
      <c r="A43" s="2" t="s">
        <v>26</v>
      </c>
      <c r="B43" s="3">
        <v>4909.38</v>
      </c>
      <c r="C43" s="3">
        <v>5081.2</v>
      </c>
      <c r="D43" s="3">
        <v>5259.01</v>
      </c>
      <c r="E43" s="3">
        <v>5443.08</v>
      </c>
      <c r="F43" s="3">
        <v>5633.61</v>
      </c>
      <c r="G43" s="3">
        <v>5830.79</v>
      </c>
      <c r="H43" s="3">
        <v>6034.87</v>
      </c>
      <c r="I43" s="3">
        <v>6246.08</v>
      </c>
      <c r="J43" s="3">
        <v>6464.72</v>
      </c>
      <c r="K43" s="3">
        <v>6690.96</v>
      </c>
    </row>
    <row r="44" spans="1:23" hidden="1" x14ac:dyDescent="0.25"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idden="1" x14ac:dyDescent="0.25">
      <c r="A45" s="5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idden="1" x14ac:dyDescent="0.25">
      <c r="B46" s="39">
        <f>TRUNC(B27,2)</f>
        <v>738.13</v>
      </c>
      <c r="C46" s="39">
        <f t="shared" ref="C46:K48" si="11">TRUNC(C27,2)</f>
        <v>756.56</v>
      </c>
      <c r="D46" s="39">
        <f t="shared" si="11"/>
        <v>775.5</v>
      </c>
      <c r="E46" s="39">
        <f t="shared" si="11"/>
        <v>794.87</v>
      </c>
      <c r="F46" s="39">
        <f t="shared" si="11"/>
        <v>814.73</v>
      </c>
      <c r="G46" s="39">
        <f t="shared" si="11"/>
        <v>835.13</v>
      </c>
      <c r="H46" s="39">
        <f t="shared" si="11"/>
        <v>856</v>
      </c>
      <c r="I46" s="39">
        <f t="shared" si="11"/>
        <v>877.41</v>
      </c>
      <c r="J46" s="39">
        <f t="shared" si="11"/>
        <v>899.33</v>
      </c>
      <c r="K46" s="39">
        <f t="shared" si="11"/>
        <v>921.8</v>
      </c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idden="1" x14ac:dyDescent="0.25">
      <c r="B47" s="39">
        <f>TRUNC(B28,2)</f>
        <v>814.73</v>
      </c>
      <c r="C47" s="39">
        <f t="shared" si="11"/>
        <v>835.13</v>
      </c>
      <c r="D47" s="39">
        <f t="shared" si="11"/>
        <v>856</v>
      </c>
      <c r="E47" s="39">
        <f t="shared" si="11"/>
        <v>877.41</v>
      </c>
      <c r="F47" s="39">
        <f t="shared" si="11"/>
        <v>899.34</v>
      </c>
      <c r="G47" s="39">
        <f t="shared" si="11"/>
        <v>921.84</v>
      </c>
      <c r="H47" s="39">
        <f t="shared" si="11"/>
        <v>944.86</v>
      </c>
      <c r="I47" s="39">
        <f t="shared" si="11"/>
        <v>968.5</v>
      </c>
      <c r="J47" s="39">
        <f t="shared" si="11"/>
        <v>992.72</v>
      </c>
      <c r="K47" s="39">
        <f t="shared" si="11"/>
        <v>1017.49</v>
      </c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idden="1" x14ac:dyDescent="0.25">
      <c r="B48" s="39">
        <f>TRUNC(B29,2)</f>
        <v>899.34</v>
      </c>
      <c r="C48" s="39">
        <f t="shared" si="11"/>
        <v>921.84</v>
      </c>
      <c r="D48" s="39">
        <f t="shared" si="11"/>
        <v>944.88</v>
      </c>
      <c r="E48" s="39">
        <f t="shared" si="11"/>
        <v>968.5</v>
      </c>
      <c r="F48" s="39">
        <f t="shared" si="11"/>
        <v>992.72</v>
      </c>
      <c r="G48" s="39">
        <f t="shared" si="11"/>
        <v>1017.55</v>
      </c>
      <c r="H48" s="39">
        <f t="shared" si="11"/>
        <v>1042.97</v>
      </c>
      <c r="I48" s="39">
        <f t="shared" si="11"/>
        <v>1069.02</v>
      </c>
      <c r="J48" s="39">
        <f t="shared" si="11"/>
        <v>1095.79</v>
      </c>
      <c r="K48" s="39">
        <f t="shared" si="11"/>
        <v>1123.17</v>
      </c>
    </row>
    <row r="49" spans="2:11" hidden="1" x14ac:dyDescent="0.25">
      <c r="B49" s="39"/>
      <c r="C49" s="39"/>
      <c r="D49" s="39"/>
      <c r="E49" s="39"/>
      <c r="F49" s="39"/>
      <c r="G49" s="39"/>
      <c r="H49" s="39"/>
      <c r="I49" s="39"/>
      <c r="J49" s="39"/>
      <c r="K49" s="39"/>
    </row>
    <row r="50" spans="2:11" x14ac:dyDescent="0.25">
      <c r="B50" s="39"/>
      <c r="C50" s="39"/>
      <c r="D50" s="39"/>
      <c r="E50" s="39"/>
      <c r="F50" s="39"/>
      <c r="G50" s="39"/>
      <c r="H50" s="39"/>
      <c r="I50" s="39"/>
      <c r="J50" s="39"/>
      <c r="K50" s="39"/>
    </row>
  </sheetData>
  <mergeCells count="2">
    <mergeCell ref="A1:K1"/>
    <mergeCell ref="A3:K3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9"/>
  <sheetViews>
    <sheetView showGridLines="0" workbookViewId="0">
      <selection sqref="A1:L1"/>
    </sheetView>
  </sheetViews>
  <sheetFormatPr defaultRowHeight="15" x14ac:dyDescent="0.25"/>
  <cols>
    <col min="1" max="1" width="18.28515625" customWidth="1"/>
    <col min="2" max="2" width="6.85546875" bestFit="1" customWidth="1"/>
    <col min="3" max="22" width="9.5703125" bestFit="1" customWidth="1"/>
    <col min="257" max="257" width="14.42578125" bestFit="1" customWidth="1"/>
    <col min="258" max="258" width="5.140625" bestFit="1" customWidth="1"/>
    <col min="259" max="278" width="9.5703125" bestFit="1" customWidth="1"/>
    <col min="513" max="513" width="14.42578125" bestFit="1" customWidth="1"/>
    <col min="514" max="514" width="5.140625" bestFit="1" customWidth="1"/>
    <col min="515" max="534" width="9.5703125" bestFit="1" customWidth="1"/>
    <col min="769" max="769" width="14.42578125" bestFit="1" customWidth="1"/>
    <col min="770" max="770" width="5.140625" bestFit="1" customWidth="1"/>
    <col min="771" max="790" width="9.5703125" bestFit="1" customWidth="1"/>
    <col min="1025" max="1025" width="14.42578125" bestFit="1" customWidth="1"/>
    <col min="1026" max="1026" width="5.140625" bestFit="1" customWidth="1"/>
    <col min="1027" max="1046" width="9.5703125" bestFit="1" customWidth="1"/>
    <col min="1281" max="1281" width="14.42578125" bestFit="1" customWidth="1"/>
    <col min="1282" max="1282" width="5.140625" bestFit="1" customWidth="1"/>
    <col min="1283" max="1302" width="9.5703125" bestFit="1" customWidth="1"/>
    <col min="1537" max="1537" width="14.42578125" bestFit="1" customWidth="1"/>
    <col min="1538" max="1538" width="5.140625" bestFit="1" customWidth="1"/>
    <col min="1539" max="1558" width="9.5703125" bestFit="1" customWidth="1"/>
    <col min="1793" max="1793" width="14.42578125" bestFit="1" customWidth="1"/>
    <col min="1794" max="1794" width="5.140625" bestFit="1" customWidth="1"/>
    <col min="1795" max="1814" width="9.5703125" bestFit="1" customWidth="1"/>
    <col min="2049" max="2049" width="14.42578125" bestFit="1" customWidth="1"/>
    <col min="2050" max="2050" width="5.140625" bestFit="1" customWidth="1"/>
    <col min="2051" max="2070" width="9.5703125" bestFit="1" customWidth="1"/>
    <col min="2305" max="2305" width="14.42578125" bestFit="1" customWidth="1"/>
    <col min="2306" max="2306" width="5.140625" bestFit="1" customWidth="1"/>
    <col min="2307" max="2326" width="9.5703125" bestFit="1" customWidth="1"/>
    <col min="2561" max="2561" width="14.42578125" bestFit="1" customWidth="1"/>
    <col min="2562" max="2562" width="5.140625" bestFit="1" customWidth="1"/>
    <col min="2563" max="2582" width="9.5703125" bestFit="1" customWidth="1"/>
    <col min="2817" max="2817" width="14.42578125" bestFit="1" customWidth="1"/>
    <col min="2818" max="2818" width="5.140625" bestFit="1" customWidth="1"/>
    <col min="2819" max="2838" width="9.5703125" bestFit="1" customWidth="1"/>
    <col min="3073" max="3073" width="14.42578125" bestFit="1" customWidth="1"/>
    <col min="3074" max="3074" width="5.140625" bestFit="1" customWidth="1"/>
    <col min="3075" max="3094" width="9.5703125" bestFit="1" customWidth="1"/>
    <col min="3329" max="3329" width="14.42578125" bestFit="1" customWidth="1"/>
    <col min="3330" max="3330" width="5.140625" bestFit="1" customWidth="1"/>
    <col min="3331" max="3350" width="9.5703125" bestFit="1" customWidth="1"/>
    <col min="3585" max="3585" width="14.42578125" bestFit="1" customWidth="1"/>
    <col min="3586" max="3586" width="5.140625" bestFit="1" customWidth="1"/>
    <col min="3587" max="3606" width="9.5703125" bestFit="1" customWidth="1"/>
    <col min="3841" max="3841" width="14.42578125" bestFit="1" customWidth="1"/>
    <col min="3842" max="3842" width="5.140625" bestFit="1" customWidth="1"/>
    <col min="3843" max="3862" width="9.5703125" bestFit="1" customWidth="1"/>
    <col min="4097" max="4097" width="14.42578125" bestFit="1" customWidth="1"/>
    <col min="4098" max="4098" width="5.140625" bestFit="1" customWidth="1"/>
    <col min="4099" max="4118" width="9.5703125" bestFit="1" customWidth="1"/>
    <col min="4353" max="4353" width="14.42578125" bestFit="1" customWidth="1"/>
    <col min="4354" max="4354" width="5.140625" bestFit="1" customWidth="1"/>
    <col min="4355" max="4374" width="9.5703125" bestFit="1" customWidth="1"/>
    <col min="4609" max="4609" width="14.42578125" bestFit="1" customWidth="1"/>
    <col min="4610" max="4610" width="5.140625" bestFit="1" customWidth="1"/>
    <col min="4611" max="4630" width="9.5703125" bestFit="1" customWidth="1"/>
    <col min="4865" max="4865" width="14.42578125" bestFit="1" customWidth="1"/>
    <col min="4866" max="4866" width="5.140625" bestFit="1" customWidth="1"/>
    <col min="4867" max="4886" width="9.5703125" bestFit="1" customWidth="1"/>
    <col min="5121" max="5121" width="14.42578125" bestFit="1" customWidth="1"/>
    <col min="5122" max="5122" width="5.140625" bestFit="1" customWidth="1"/>
    <col min="5123" max="5142" width="9.5703125" bestFit="1" customWidth="1"/>
    <col min="5377" max="5377" width="14.42578125" bestFit="1" customWidth="1"/>
    <col min="5378" max="5378" width="5.140625" bestFit="1" customWidth="1"/>
    <col min="5379" max="5398" width="9.5703125" bestFit="1" customWidth="1"/>
    <col min="5633" max="5633" width="14.42578125" bestFit="1" customWidth="1"/>
    <col min="5634" max="5634" width="5.140625" bestFit="1" customWidth="1"/>
    <col min="5635" max="5654" width="9.5703125" bestFit="1" customWidth="1"/>
    <col min="5889" max="5889" width="14.42578125" bestFit="1" customWidth="1"/>
    <col min="5890" max="5890" width="5.140625" bestFit="1" customWidth="1"/>
    <col min="5891" max="5910" width="9.5703125" bestFit="1" customWidth="1"/>
    <col min="6145" max="6145" width="14.42578125" bestFit="1" customWidth="1"/>
    <col min="6146" max="6146" width="5.140625" bestFit="1" customWidth="1"/>
    <col min="6147" max="6166" width="9.5703125" bestFit="1" customWidth="1"/>
    <col min="6401" max="6401" width="14.42578125" bestFit="1" customWidth="1"/>
    <col min="6402" max="6402" width="5.140625" bestFit="1" customWidth="1"/>
    <col min="6403" max="6422" width="9.5703125" bestFit="1" customWidth="1"/>
    <col min="6657" max="6657" width="14.42578125" bestFit="1" customWidth="1"/>
    <col min="6658" max="6658" width="5.140625" bestFit="1" customWidth="1"/>
    <col min="6659" max="6678" width="9.5703125" bestFit="1" customWidth="1"/>
    <col min="6913" max="6913" width="14.42578125" bestFit="1" customWidth="1"/>
    <col min="6914" max="6914" width="5.140625" bestFit="1" customWidth="1"/>
    <col min="6915" max="6934" width="9.5703125" bestFit="1" customWidth="1"/>
    <col min="7169" max="7169" width="14.42578125" bestFit="1" customWidth="1"/>
    <col min="7170" max="7170" width="5.140625" bestFit="1" customWidth="1"/>
    <col min="7171" max="7190" width="9.5703125" bestFit="1" customWidth="1"/>
    <col min="7425" max="7425" width="14.42578125" bestFit="1" customWidth="1"/>
    <col min="7426" max="7426" width="5.140625" bestFit="1" customWidth="1"/>
    <col min="7427" max="7446" width="9.5703125" bestFit="1" customWidth="1"/>
    <col min="7681" max="7681" width="14.42578125" bestFit="1" customWidth="1"/>
    <col min="7682" max="7682" width="5.140625" bestFit="1" customWidth="1"/>
    <col min="7683" max="7702" width="9.5703125" bestFit="1" customWidth="1"/>
    <col min="7937" max="7937" width="14.42578125" bestFit="1" customWidth="1"/>
    <col min="7938" max="7938" width="5.140625" bestFit="1" customWidth="1"/>
    <col min="7939" max="7958" width="9.5703125" bestFit="1" customWidth="1"/>
    <col min="8193" max="8193" width="14.42578125" bestFit="1" customWidth="1"/>
    <col min="8194" max="8194" width="5.140625" bestFit="1" customWidth="1"/>
    <col min="8195" max="8214" width="9.5703125" bestFit="1" customWidth="1"/>
    <col min="8449" max="8449" width="14.42578125" bestFit="1" customWidth="1"/>
    <col min="8450" max="8450" width="5.140625" bestFit="1" customWidth="1"/>
    <col min="8451" max="8470" width="9.5703125" bestFit="1" customWidth="1"/>
    <col min="8705" max="8705" width="14.42578125" bestFit="1" customWidth="1"/>
    <col min="8706" max="8706" width="5.140625" bestFit="1" customWidth="1"/>
    <col min="8707" max="8726" width="9.5703125" bestFit="1" customWidth="1"/>
    <col min="8961" max="8961" width="14.42578125" bestFit="1" customWidth="1"/>
    <col min="8962" max="8962" width="5.140625" bestFit="1" customWidth="1"/>
    <col min="8963" max="8982" width="9.5703125" bestFit="1" customWidth="1"/>
    <col min="9217" max="9217" width="14.42578125" bestFit="1" customWidth="1"/>
    <col min="9218" max="9218" width="5.140625" bestFit="1" customWidth="1"/>
    <col min="9219" max="9238" width="9.5703125" bestFit="1" customWidth="1"/>
    <col min="9473" max="9473" width="14.42578125" bestFit="1" customWidth="1"/>
    <col min="9474" max="9474" width="5.140625" bestFit="1" customWidth="1"/>
    <col min="9475" max="9494" width="9.5703125" bestFit="1" customWidth="1"/>
    <col min="9729" max="9729" width="14.42578125" bestFit="1" customWidth="1"/>
    <col min="9730" max="9730" width="5.140625" bestFit="1" customWidth="1"/>
    <col min="9731" max="9750" width="9.5703125" bestFit="1" customWidth="1"/>
    <col min="9985" max="9985" width="14.42578125" bestFit="1" customWidth="1"/>
    <col min="9986" max="9986" width="5.140625" bestFit="1" customWidth="1"/>
    <col min="9987" max="10006" width="9.5703125" bestFit="1" customWidth="1"/>
    <col min="10241" max="10241" width="14.42578125" bestFit="1" customWidth="1"/>
    <col min="10242" max="10242" width="5.140625" bestFit="1" customWidth="1"/>
    <col min="10243" max="10262" width="9.5703125" bestFit="1" customWidth="1"/>
    <col min="10497" max="10497" width="14.42578125" bestFit="1" customWidth="1"/>
    <col min="10498" max="10498" width="5.140625" bestFit="1" customWidth="1"/>
    <col min="10499" max="10518" width="9.5703125" bestFit="1" customWidth="1"/>
    <col min="10753" max="10753" width="14.42578125" bestFit="1" customWidth="1"/>
    <col min="10754" max="10754" width="5.140625" bestFit="1" customWidth="1"/>
    <col min="10755" max="10774" width="9.5703125" bestFit="1" customWidth="1"/>
    <col min="11009" max="11009" width="14.42578125" bestFit="1" customWidth="1"/>
    <col min="11010" max="11010" width="5.140625" bestFit="1" customWidth="1"/>
    <col min="11011" max="11030" width="9.5703125" bestFit="1" customWidth="1"/>
    <col min="11265" max="11265" width="14.42578125" bestFit="1" customWidth="1"/>
    <col min="11266" max="11266" width="5.140625" bestFit="1" customWidth="1"/>
    <col min="11267" max="11286" width="9.5703125" bestFit="1" customWidth="1"/>
    <col min="11521" max="11521" width="14.42578125" bestFit="1" customWidth="1"/>
    <col min="11522" max="11522" width="5.140625" bestFit="1" customWidth="1"/>
    <col min="11523" max="11542" width="9.5703125" bestFit="1" customWidth="1"/>
    <col min="11777" max="11777" width="14.42578125" bestFit="1" customWidth="1"/>
    <col min="11778" max="11778" width="5.140625" bestFit="1" customWidth="1"/>
    <col min="11779" max="11798" width="9.5703125" bestFit="1" customWidth="1"/>
    <col min="12033" max="12033" width="14.42578125" bestFit="1" customWidth="1"/>
    <col min="12034" max="12034" width="5.140625" bestFit="1" customWidth="1"/>
    <col min="12035" max="12054" width="9.5703125" bestFit="1" customWidth="1"/>
    <col min="12289" max="12289" width="14.42578125" bestFit="1" customWidth="1"/>
    <col min="12290" max="12290" width="5.140625" bestFit="1" customWidth="1"/>
    <col min="12291" max="12310" width="9.5703125" bestFit="1" customWidth="1"/>
    <col min="12545" max="12545" width="14.42578125" bestFit="1" customWidth="1"/>
    <col min="12546" max="12546" width="5.140625" bestFit="1" customWidth="1"/>
    <col min="12547" max="12566" width="9.5703125" bestFit="1" customWidth="1"/>
    <col min="12801" max="12801" width="14.42578125" bestFit="1" customWidth="1"/>
    <col min="12802" max="12802" width="5.140625" bestFit="1" customWidth="1"/>
    <col min="12803" max="12822" width="9.5703125" bestFit="1" customWidth="1"/>
    <col min="13057" max="13057" width="14.42578125" bestFit="1" customWidth="1"/>
    <col min="13058" max="13058" width="5.140625" bestFit="1" customWidth="1"/>
    <col min="13059" max="13078" width="9.5703125" bestFit="1" customWidth="1"/>
    <col min="13313" max="13313" width="14.42578125" bestFit="1" customWidth="1"/>
    <col min="13314" max="13314" width="5.140625" bestFit="1" customWidth="1"/>
    <col min="13315" max="13334" width="9.5703125" bestFit="1" customWidth="1"/>
    <col min="13569" max="13569" width="14.42578125" bestFit="1" customWidth="1"/>
    <col min="13570" max="13570" width="5.140625" bestFit="1" customWidth="1"/>
    <col min="13571" max="13590" width="9.5703125" bestFit="1" customWidth="1"/>
    <col min="13825" max="13825" width="14.42578125" bestFit="1" customWidth="1"/>
    <col min="13826" max="13826" width="5.140625" bestFit="1" customWidth="1"/>
    <col min="13827" max="13846" width="9.5703125" bestFit="1" customWidth="1"/>
    <col min="14081" max="14081" width="14.42578125" bestFit="1" customWidth="1"/>
    <col min="14082" max="14082" width="5.140625" bestFit="1" customWidth="1"/>
    <col min="14083" max="14102" width="9.5703125" bestFit="1" customWidth="1"/>
    <col min="14337" max="14337" width="14.42578125" bestFit="1" customWidth="1"/>
    <col min="14338" max="14338" width="5.140625" bestFit="1" customWidth="1"/>
    <col min="14339" max="14358" width="9.5703125" bestFit="1" customWidth="1"/>
    <col min="14593" max="14593" width="14.42578125" bestFit="1" customWidth="1"/>
    <col min="14594" max="14594" width="5.140625" bestFit="1" customWidth="1"/>
    <col min="14595" max="14614" width="9.5703125" bestFit="1" customWidth="1"/>
    <col min="14849" max="14849" width="14.42578125" bestFit="1" customWidth="1"/>
    <col min="14850" max="14850" width="5.140625" bestFit="1" customWidth="1"/>
    <col min="14851" max="14870" width="9.5703125" bestFit="1" customWidth="1"/>
    <col min="15105" max="15105" width="14.42578125" bestFit="1" customWidth="1"/>
    <col min="15106" max="15106" width="5.140625" bestFit="1" customWidth="1"/>
    <col min="15107" max="15126" width="9.5703125" bestFit="1" customWidth="1"/>
    <col min="15361" max="15361" width="14.42578125" bestFit="1" customWidth="1"/>
    <col min="15362" max="15362" width="5.140625" bestFit="1" customWidth="1"/>
    <col min="15363" max="15382" width="9.5703125" bestFit="1" customWidth="1"/>
    <col min="15617" max="15617" width="14.42578125" bestFit="1" customWidth="1"/>
    <col min="15618" max="15618" width="5.140625" bestFit="1" customWidth="1"/>
    <col min="15619" max="15638" width="9.5703125" bestFit="1" customWidth="1"/>
    <col min="15873" max="15873" width="14.42578125" bestFit="1" customWidth="1"/>
    <col min="15874" max="15874" width="5.140625" bestFit="1" customWidth="1"/>
    <col min="15875" max="15894" width="9.5703125" bestFit="1" customWidth="1"/>
    <col min="16129" max="16129" width="14.42578125" bestFit="1" customWidth="1"/>
    <col min="16130" max="16130" width="5.140625" bestFit="1" customWidth="1"/>
    <col min="16131" max="16150" width="9.5703125" bestFit="1" customWidth="1"/>
  </cols>
  <sheetData>
    <row r="1" spans="1:22" ht="30" customHeight="1" x14ac:dyDescent="0.25">
      <c r="A1" s="67" t="s">
        <v>135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3" spans="1:22" x14ac:dyDescent="0.25">
      <c r="A3" s="69" t="s">
        <v>27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1"/>
    </row>
    <row r="5" spans="1:22" x14ac:dyDescent="0.25">
      <c r="A5" s="72" t="s">
        <v>28</v>
      </c>
      <c r="B5" s="72" t="s">
        <v>29</v>
      </c>
      <c r="C5" s="66" t="s">
        <v>0</v>
      </c>
      <c r="D5" s="66" t="s">
        <v>1</v>
      </c>
      <c r="E5" s="66" t="s">
        <v>2</v>
      </c>
      <c r="F5" s="66" t="s">
        <v>3</v>
      </c>
      <c r="G5" s="66" t="s">
        <v>4</v>
      </c>
      <c r="H5" s="66" t="s">
        <v>5</v>
      </c>
      <c r="I5" s="66" t="s">
        <v>6</v>
      </c>
      <c r="J5" s="66" t="s">
        <v>7</v>
      </c>
      <c r="K5" s="66" t="s">
        <v>8</v>
      </c>
      <c r="L5" s="66" t="s">
        <v>9</v>
      </c>
    </row>
    <row r="6" spans="1:22" x14ac:dyDescent="0.25">
      <c r="A6" s="72"/>
      <c r="B6" s="72"/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1:22" s="46" customFormat="1" ht="20.100000000000001" customHeight="1" x14ac:dyDescent="0.25">
      <c r="A7" s="48" t="s">
        <v>30</v>
      </c>
      <c r="B7" s="41" t="s">
        <v>31</v>
      </c>
      <c r="C7" s="10">
        <f t="shared" ref="C7:C14" si="0">C21*6%+C21</f>
        <v>1115.8514</v>
      </c>
      <c r="D7" s="10">
        <f t="shared" ref="D7:L7" si="1">D21*6%+D21</f>
        <v>1127.0237999999999</v>
      </c>
      <c r="E7" s="10">
        <f t="shared" si="1"/>
        <v>1138.3021999999999</v>
      </c>
      <c r="F7" s="10">
        <f t="shared" si="1"/>
        <v>1149.6971999999998</v>
      </c>
      <c r="G7" s="10">
        <f t="shared" si="1"/>
        <v>1161.1452000000002</v>
      </c>
      <c r="H7" s="10">
        <f t="shared" si="1"/>
        <v>1172.7840000000001</v>
      </c>
      <c r="I7" s="10">
        <f t="shared" si="1"/>
        <v>1184.4970000000001</v>
      </c>
      <c r="J7" s="10">
        <f t="shared" si="1"/>
        <v>1196.3796</v>
      </c>
      <c r="K7" s="10">
        <f t="shared" si="1"/>
        <v>1208.3258000000001</v>
      </c>
      <c r="L7" s="10">
        <f t="shared" si="1"/>
        <v>1220.3886</v>
      </c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1:22" s="46" customFormat="1" ht="20.100000000000001" customHeight="1" x14ac:dyDescent="0.25">
      <c r="A8" s="48" t="s">
        <v>32</v>
      </c>
      <c r="B8" s="41" t="s">
        <v>33</v>
      </c>
      <c r="C8" s="10">
        <f t="shared" si="0"/>
        <v>1208.3258000000001</v>
      </c>
      <c r="D8" s="10">
        <f t="shared" ref="D8:L8" si="2">D22*6%+D22</f>
        <v>1220.3886</v>
      </c>
      <c r="E8" s="10">
        <f t="shared" si="2"/>
        <v>1232.5891999999999</v>
      </c>
      <c r="F8" s="10">
        <f t="shared" si="2"/>
        <v>1244.9382000000001</v>
      </c>
      <c r="G8" s="10">
        <f>G22*6%+G22</f>
        <v>1257.3826000000001</v>
      </c>
      <c r="H8" s="10">
        <f t="shared" si="2"/>
        <v>1269.933</v>
      </c>
      <c r="I8" s="10">
        <f t="shared" si="2"/>
        <v>1282.653</v>
      </c>
      <c r="J8" s="10">
        <f t="shared" si="2"/>
        <v>1295.479</v>
      </c>
      <c r="K8" s="10">
        <f t="shared" si="2"/>
        <v>1308.4322</v>
      </c>
      <c r="L8" s="10">
        <f t="shared" si="2"/>
        <v>1321.5232000000001</v>
      </c>
      <c r="M8" s="49"/>
      <c r="N8" s="49"/>
      <c r="O8" s="49"/>
      <c r="P8" s="49"/>
      <c r="Q8" s="49"/>
      <c r="R8" s="49"/>
      <c r="S8" s="49"/>
      <c r="T8" s="49"/>
      <c r="U8" s="49"/>
      <c r="V8" s="49"/>
    </row>
    <row r="9" spans="1:22" s="46" customFormat="1" ht="20.100000000000001" customHeight="1" x14ac:dyDescent="0.25">
      <c r="A9" s="48" t="s">
        <v>34</v>
      </c>
      <c r="B9" s="41" t="s">
        <v>35</v>
      </c>
      <c r="C9" s="10">
        <f t="shared" si="0"/>
        <v>1308.4322</v>
      </c>
      <c r="D9" s="10">
        <f t="shared" ref="D9:L9" si="3">D23*6%+D23</f>
        <v>1334.6035999999999</v>
      </c>
      <c r="E9" s="10">
        <f t="shared" si="3"/>
        <v>1361.2944</v>
      </c>
      <c r="F9" s="10">
        <f t="shared" si="3"/>
        <v>1388.5364</v>
      </c>
      <c r="G9" s="10">
        <f t="shared" si="3"/>
        <v>1416.2978000000001</v>
      </c>
      <c r="H9" s="10">
        <f t="shared" si="3"/>
        <v>1444.6315999999999</v>
      </c>
      <c r="I9" s="10">
        <f t="shared" si="3"/>
        <v>1473.5165999999999</v>
      </c>
      <c r="J9" s="10">
        <f t="shared" si="3"/>
        <v>1502.9740000000002</v>
      </c>
      <c r="K9" s="10">
        <f t="shared" si="3"/>
        <v>1533.0462</v>
      </c>
      <c r="L9" s="10">
        <f t="shared" si="3"/>
        <v>1563.7332000000001</v>
      </c>
      <c r="M9" s="49"/>
      <c r="N9" s="49"/>
      <c r="O9" s="49"/>
      <c r="P9" s="49"/>
      <c r="Q9" s="49"/>
      <c r="R9" s="49"/>
      <c r="S9" s="49"/>
      <c r="T9" s="49"/>
      <c r="U9" s="49"/>
      <c r="V9" s="49"/>
    </row>
    <row r="10" spans="1:22" s="46" customFormat="1" ht="20.100000000000001" customHeight="1" x14ac:dyDescent="0.25">
      <c r="A10" s="48" t="s">
        <v>36</v>
      </c>
      <c r="B10" s="41" t="s">
        <v>37</v>
      </c>
      <c r="C10" s="10">
        <f t="shared" si="0"/>
        <v>1533.0462</v>
      </c>
      <c r="D10" s="10">
        <f t="shared" ref="D10:L10" si="4">D24*6%+D24</f>
        <v>1563.7332000000001</v>
      </c>
      <c r="E10" s="10">
        <f t="shared" si="4"/>
        <v>1594.9714000000001</v>
      </c>
      <c r="F10" s="10">
        <f t="shared" si="4"/>
        <v>1626.8773999999999</v>
      </c>
      <c r="G10" s="10">
        <f t="shared" si="4"/>
        <v>1659.43</v>
      </c>
      <c r="H10" s="10">
        <f t="shared" si="4"/>
        <v>1692.5973999999999</v>
      </c>
      <c r="I10" s="10">
        <f t="shared" si="4"/>
        <v>1726.4644000000001</v>
      </c>
      <c r="J10" s="10">
        <f t="shared" si="4"/>
        <v>1760.9674</v>
      </c>
      <c r="K10" s="10">
        <f t="shared" si="4"/>
        <v>1796.2123999999999</v>
      </c>
      <c r="L10" s="10">
        <f t="shared" si="4"/>
        <v>1832.1252000000002</v>
      </c>
      <c r="M10" s="49"/>
      <c r="N10" s="49"/>
      <c r="O10" s="49"/>
      <c r="P10" s="49"/>
      <c r="Q10" s="49"/>
      <c r="R10" s="49"/>
      <c r="S10" s="49"/>
      <c r="T10" s="49"/>
      <c r="U10" s="49"/>
      <c r="V10" s="49"/>
    </row>
    <row r="11" spans="1:22" s="46" customFormat="1" ht="20.100000000000001" customHeight="1" x14ac:dyDescent="0.25">
      <c r="A11" s="48" t="s">
        <v>38</v>
      </c>
      <c r="B11" s="41" t="s">
        <v>39</v>
      </c>
      <c r="C11" s="10">
        <f t="shared" si="0"/>
        <v>1796.2123999999999</v>
      </c>
      <c r="D11" s="10">
        <f t="shared" ref="D11:L11" si="5">D25*6%+D25</f>
        <v>1832.1252000000002</v>
      </c>
      <c r="E11" s="10">
        <f t="shared" si="5"/>
        <v>1868.8011999999999</v>
      </c>
      <c r="F11" s="10">
        <f t="shared" si="5"/>
        <v>1906.1661999999999</v>
      </c>
      <c r="G11" s="10">
        <f t="shared" si="5"/>
        <v>1944.2626</v>
      </c>
      <c r="H11" s="10">
        <f t="shared" si="5"/>
        <v>1983.154</v>
      </c>
      <c r="I11" s="10">
        <f t="shared" si="5"/>
        <v>2022.8085999999998</v>
      </c>
      <c r="J11" s="10">
        <f t="shared" si="5"/>
        <v>2063.2793999999999</v>
      </c>
      <c r="K11" s="10">
        <f t="shared" si="5"/>
        <v>2104.5558000000001</v>
      </c>
      <c r="L11" s="10">
        <f t="shared" si="5"/>
        <v>2146.6378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</row>
    <row r="12" spans="1:22" s="46" customFormat="1" ht="20.100000000000001" customHeight="1" x14ac:dyDescent="0.25">
      <c r="A12" s="48" t="s">
        <v>40</v>
      </c>
      <c r="B12" s="41" t="s">
        <v>41</v>
      </c>
      <c r="C12" s="10">
        <f t="shared" si="0"/>
        <v>2104.5558000000001</v>
      </c>
      <c r="D12" s="10">
        <f t="shared" ref="D12:L12" si="6">D26*6%+D26</f>
        <v>2178.2152000000001</v>
      </c>
      <c r="E12" s="10">
        <f t="shared" si="6"/>
        <v>2254.4398000000001</v>
      </c>
      <c r="F12" s="10">
        <f t="shared" si="6"/>
        <v>2333.3462</v>
      </c>
      <c r="G12" s="10">
        <f t="shared" si="6"/>
        <v>2415.0297999999998</v>
      </c>
      <c r="H12" s="10">
        <f t="shared" si="6"/>
        <v>2499.5542</v>
      </c>
      <c r="I12" s="10">
        <f t="shared" si="6"/>
        <v>2587.0360000000001</v>
      </c>
      <c r="J12" s="10">
        <f t="shared" si="6"/>
        <v>2677.5812000000001</v>
      </c>
      <c r="K12" s="10">
        <f t="shared" si="6"/>
        <v>2771.2745999999997</v>
      </c>
      <c r="L12" s="10">
        <f t="shared" si="6"/>
        <v>2868.2964000000002</v>
      </c>
      <c r="M12" s="49"/>
      <c r="N12" s="49"/>
      <c r="O12" s="49"/>
      <c r="P12" s="49"/>
      <c r="Q12" s="49"/>
      <c r="R12" s="49"/>
      <c r="S12" s="49"/>
      <c r="T12" s="49"/>
      <c r="U12" s="49"/>
      <c r="V12" s="49"/>
    </row>
    <row r="13" spans="1:22" s="46" customFormat="1" ht="20.100000000000001" customHeight="1" x14ac:dyDescent="0.25">
      <c r="A13" s="48" t="s">
        <v>42</v>
      </c>
      <c r="B13" s="41" t="s">
        <v>43</v>
      </c>
      <c r="C13" s="10">
        <f t="shared" si="0"/>
        <v>2771.2745999999997</v>
      </c>
      <c r="D13" s="10">
        <f t="shared" ref="D13:L13" si="7">D27*6%+D27</f>
        <v>2868.2964000000002</v>
      </c>
      <c r="E13" s="10">
        <f t="shared" si="7"/>
        <v>2968.6783999999998</v>
      </c>
      <c r="F13" s="10">
        <f t="shared" si="7"/>
        <v>3072.569</v>
      </c>
      <c r="G13" s="10">
        <f t="shared" si="7"/>
        <v>3180.1059999999998</v>
      </c>
      <c r="H13" s="10">
        <f t="shared" si="7"/>
        <v>3291.4059999999999</v>
      </c>
      <c r="I13" s="10">
        <f t="shared" si="7"/>
        <v>3406.6068</v>
      </c>
      <c r="J13" s="10">
        <f t="shared" si="7"/>
        <v>3525.8356000000003</v>
      </c>
      <c r="K13" s="10">
        <f t="shared" si="7"/>
        <v>3649.2514000000001</v>
      </c>
      <c r="L13" s="10">
        <f t="shared" si="7"/>
        <v>3776.9814000000001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</row>
    <row r="14" spans="1:22" s="46" customFormat="1" ht="20.100000000000001" customHeight="1" x14ac:dyDescent="0.25">
      <c r="A14" s="48" t="s">
        <v>44</v>
      </c>
      <c r="B14" s="41" t="s">
        <v>45</v>
      </c>
      <c r="C14" s="10">
        <f t="shared" si="0"/>
        <v>3649.2514000000001</v>
      </c>
      <c r="D14" s="10">
        <f t="shared" ref="D14:L14" si="8">D28*6%+D28</f>
        <v>3776.9814000000001</v>
      </c>
      <c r="E14" s="10">
        <f t="shared" si="8"/>
        <v>3909.1846</v>
      </c>
      <c r="F14" s="10">
        <f t="shared" si="8"/>
        <v>4046.0093999999999</v>
      </c>
      <c r="G14" s="10">
        <f t="shared" si="8"/>
        <v>4187.6148000000003</v>
      </c>
      <c r="H14" s="10">
        <f t="shared" si="8"/>
        <v>4334.1704</v>
      </c>
      <c r="I14" s="10">
        <f t="shared" si="8"/>
        <v>4485.8882000000003</v>
      </c>
      <c r="J14" s="10">
        <f t="shared" si="8"/>
        <v>4642.8741999999993</v>
      </c>
      <c r="K14" s="10">
        <f t="shared" si="8"/>
        <v>4805.3933999999999</v>
      </c>
      <c r="L14" s="10">
        <f t="shared" si="8"/>
        <v>4973.5517999999993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</row>
    <row r="16" spans="1:22" x14ac:dyDescent="0.25">
      <c r="D16" s="9"/>
      <c r="E16" s="9"/>
      <c r="F16" s="9"/>
      <c r="G16" s="9"/>
      <c r="H16" s="9"/>
      <c r="I16" s="9"/>
      <c r="J16" s="9"/>
      <c r="K16" s="9"/>
      <c r="L16" s="9"/>
    </row>
    <row r="18" spans="1:13" s="40" customFormat="1" hidden="1" x14ac:dyDescent="0.25"/>
    <row r="19" spans="1:13" ht="15" hidden="1" customHeight="1" x14ac:dyDescent="0.25">
      <c r="A19" s="73" t="s">
        <v>28</v>
      </c>
      <c r="B19" s="73" t="s">
        <v>29</v>
      </c>
      <c r="C19" s="65" t="s">
        <v>0</v>
      </c>
      <c r="D19" s="65" t="s">
        <v>1</v>
      </c>
      <c r="E19" s="65" t="s">
        <v>2</v>
      </c>
      <c r="F19" s="65" t="s">
        <v>3</v>
      </c>
      <c r="G19" s="65" t="s">
        <v>4</v>
      </c>
      <c r="H19" s="65" t="s">
        <v>5</v>
      </c>
      <c r="I19" s="65" t="s">
        <v>6</v>
      </c>
      <c r="J19" s="65" t="s">
        <v>7</v>
      </c>
      <c r="K19" s="65" t="s">
        <v>8</v>
      </c>
      <c r="L19" s="65" t="s">
        <v>9</v>
      </c>
    </row>
    <row r="20" spans="1:13" ht="15" hidden="1" customHeight="1" x14ac:dyDescent="0.25">
      <c r="A20" s="73"/>
      <c r="B20" s="73"/>
      <c r="C20" s="65"/>
      <c r="D20" s="65"/>
      <c r="E20" s="65"/>
      <c r="F20" s="65"/>
      <c r="G20" s="65"/>
      <c r="H20" s="65"/>
      <c r="I20" s="65"/>
      <c r="J20" s="65"/>
      <c r="K20" s="65"/>
      <c r="L20" s="65"/>
    </row>
    <row r="21" spans="1:13" ht="15" hidden="1" customHeight="1" x14ac:dyDescent="0.25">
      <c r="A21" s="18" t="s">
        <v>30</v>
      </c>
      <c r="B21" s="19" t="s">
        <v>31</v>
      </c>
      <c r="C21" s="20">
        <v>1052.69</v>
      </c>
      <c r="D21" s="20">
        <v>1063.23</v>
      </c>
      <c r="E21" s="20">
        <v>1073.8699999999999</v>
      </c>
      <c r="F21" s="20">
        <v>1084.6199999999999</v>
      </c>
      <c r="G21" s="20">
        <v>1095.42</v>
      </c>
      <c r="H21" s="20">
        <v>1106.4000000000001</v>
      </c>
      <c r="I21" s="20">
        <v>1117.45</v>
      </c>
      <c r="J21" s="20">
        <v>1128.6600000000001</v>
      </c>
      <c r="K21" s="20">
        <v>1139.93</v>
      </c>
      <c r="L21" s="20">
        <v>1151.31</v>
      </c>
      <c r="M21" s="9"/>
    </row>
    <row r="22" spans="1:13" ht="15" hidden="1" customHeight="1" x14ac:dyDescent="0.25">
      <c r="A22" s="18" t="s">
        <v>32</v>
      </c>
      <c r="B22" s="19" t="s">
        <v>33</v>
      </c>
      <c r="C22" s="20">
        <v>1139.93</v>
      </c>
      <c r="D22" s="20">
        <v>1151.31</v>
      </c>
      <c r="E22" s="20">
        <v>1162.82</v>
      </c>
      <c r="F22" s="20">
        <v>1174.47</v>
      </c>
      <c r="G22" s="20">
        <v>1186.21</v>
      </c>
      <c r="H22" s="20">
        <v>1198.05</v>
      </c>
      <c r="I22" s="20">
        <v>1210.05</v>
      </c>
      <c r="J22" s="20">
        <v>1222.1500000000001</v>
      </c>
      <c r="K22" s="20">
        <v>1234.3699999999999</v>
      </c>
      <c r="L22" s="20">
        <v>1246.72</v>
      </c>
    </row>
    <row r="23" spans="1:13" ht="15" hidden="1" customHeight="1" x14ac:dyDescent="0.25">
      <c r="A23" s="18" t="s">
        <v>34</v>
      </c>
      <c r="B23" s="19" t="s">
        <v>35</v>
      </c>
      <c r="C23" s="20">
        <v>1234.3699999999999</v>
      </c>
      <c r="D23" s="20">
        <v>1259.06</v>
      </c>
      <c r="E23" s="20">
        <v>1284.24</v>
      </c>
      <c r="F23" s="20">
        <v>1309.94</v>
      </c>
      <c r="G23" s="20">
        <v>1336.13</v>
      </c>
      <c r="H23" s="20">
        <v>1362.86</v>
      </c>
      <c r="I23" s="20">
        <v>1390.11</v>
      </c>
      <c r="J23" s="20">
        <v>1417.9</v>
      </c>
      <c r="K23" s="20">
        <v>1446.27</v>
      </c>
      <c r="L23" s="20">
        <v>1475.22</v>
      </c>
    </row>
    <row r="24" spans="1:13" ht="15" hidden="1" customHeight="1" x14ac:dyDescent="0.25">
      <c r="A24" s="18" t="s">
        <v>36</v>
      </c>
      <c r="B24" s="19" t="s">
        <v>37</v>
      </c>
      <c r="C24" s="20">
        <v>1446.27</v>
      </c>
      <c r="D24" s="20">
        <v>1475.22</v>
      </c>
      <c r="E24" s="20">
        <v>1504.69</v>
      </c>
      <c r="F24" s="20">
        <v>1534.79</v>
      </c>
      <c r="G24" s="20">
        <v>1565.5</v>
      </c>
      <c r="H24" s="20">
        <v>1596.79</v>
      </c>
      <c r="I24" s="20">
        <v>1628.74</v>
      </c>
      <c r="J24" s="20">
        <v>1661.29</v>
      </c>
      <c r="K24" s="20">
        <v>1694.54</v>
      </c>
      <c r="L24" s="20">
        <v>1728.42</v>
      </c>
    </row>
    <row r="25" spans="1:13" ht="15" hidden="1" customHeight="1" x14ac:dyDescent="0.25">
      <c r="A25" s="18" t="s">
        <v>38</v>
      </c>
      <c r="B25" s="19" t="s">
        <v>39</v>
      </c>
      <c r="C25" s="20">
        <v>1694.54</v>
      </c>
      <c r="D25" s="20">
        <v>1728.42</v>
      </c>
      <c r="E25" s="20">
        <v>1763.02</v>
      </c>
      <c r="F25" s="20">
        <v>1798.27</v>
      </c>
      <c r="G25" s="20">
        <v>1834.21</v>
      </c>
      <c r="H25" s="20">
        <v>1870.9</v>
      </c>
      <c r="I25" s="20">
        <v>1908.31</v>
      </c>
      <c r="J25" s="20">
        <v>1946.49</v>
      </c>
      <c r="K25" s="20">
        <v>1985.43</v>
      </c>
      <c r="L25" s="20">
        <v>2025.13</v>
      </c>
    </row>
    <row r="26" spans="1:13" ht="15" hidden="1" customHeight="1" x14ac:dyDescent="0.25">
      <c r="A26" s="18" t="s">
        <v>40</v>
      </c>
      <c r="B26" s="19" t="s">
        <v>41</v>
      </c>
      <c r="C26" s="20">
        <v>1985.43</v>
      </c>
      <c r="D26" s="20">
        <v>2054.92</v>
      </c>
      <c r="E26" s="20">
        <v>2126.83</v>
      </c>
      <c r="F26" s="20">
        <v>2201.27</v>
      </c>
      <c r="G26" s="20">
        <v>2278.33</v>
      </c>
      <c r="H26" s="20">
        <v>2358.0700000000002</v>
      </c>
      <c r="I26" s="20">
        <v>2440.6</v>
      </c>
      <c r="J26" s="20">
        <v>2526.02</v>
      </c>
      <c r="K26" s="20">
        <v>2614.41</v>
      </c>
      <c r="L26" s="20">
        <v>2705.94</v>
      </c>
    </row>
    <row r="27" spans="1:13" ht="15" hidden="1" customHeight="1" x14ac:dyDescent="0.25">
      <c r="A27" s="18" t="s">
        <v>42</v>
      </c>
      <c r="B27" s="19" t="s">
        <v>43</v>
      </c>
      <c r="C27" s="20">
        <v>2614.41</v>
      </c>
      <c r="D27" s="20">
        <v>2705.94</v>
      </c>
      <c r="E27" s="20">
        <v>2800.64</v>
      </c>
      <c r="F27" s="20">
        <v>2898.65</v>
      </c>
      <c r="G27" s="20">
        <v>3000.1</v>
      </c>
      <c r="H27" s="20">
        <v>3105.1</v>
      </c>
      <c r="I27" s="20">
        <v>3213.78</v>
      </c>
      <c r="J27" s="20">
        <v>3326.26</v>
      </c>
      <c r="K27" s="20">
        <v>3442.69</v>
      </c>
      <c r="L27" s="20">
        <v>3563.19</v>
      </c>
    </row>
    <row r="28" spans="1:13" ht="15" hidden="1" customHeight="1" x14ac:dyDescent="0.25">
      <c r="A28" s="18" t="s">
        <v>44</v>
      </c>
      <c r="B28" s="19" t="s">
        <v>45</v>
      </c>
      <c r="C28" s="20">
        <v>3442.69</v>
      </c>
      <c r="D28" s="20">
        <v>3563.19</v>
      </c>
      <c r="E28" s="20">
        <v>3687.91</v>
      </c>
      <c r="F28" s="20">
        <v>3816.99</v>
      </c>
      <c r="G28" s="20">
        <v>3950.58</v>
      </c>
      <c r="H28" s="20">
        <v>4088.84</v>
      </c>
      <c r="I28" s="20">
        <v>4231.97</v>
      </c>
      <c r="J28" s="20">
        <v>4380.07</v>
      </c>
      <c r="K28" s="20">
        <v>4533.3900000000003</v>
      </c>
      <c r="L28" s="20">
        <v>4692.03</v>
      </c>
    </row>
    <row r="29" spans="1:13" hidden="1" x14ac:dyDescent="0.25"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3" hidden="1" x14ac:dyDescent="0.25"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3" hidden="1" x14ac:dyDescent="0.25">
      <c r="C31" s="39">
        <f>TRUNC(C21,3)</f>
        <v>1052.69</v>
      </c>
      <c r="D31" s="39">
        <f>TRUNC(D21,3)</f>
        <v>1063.23</v>
      </c>
      <c r="E31" s="39">
        <f t="shared" ref="D31:L38" si="9">TRUNC(E21,3)</f>
        <v>1073.8699999999999</v>
      </c>
      <c r="F31" s="39">
        <f t="shared" si="9"/>
        <v>1084.6199999999999</v>
      </c>
      <c r="G31" s="39">
        <f t="shared" si="9"/>
        <v>1095.42</v>
      </c>
      <c r="H31" s="39">
        <f t="shared" si="9"/>
        <v>1106.4000000000001</v>
      </c>
      <c r="I31" s="39">
        <f t="shared" si="9"/>
        <v>1117.45</v>
      </c>
      <c r="J31" s="39">
        <f t="shared" si="9"/>
        <v>1128.6600000000001</v>
      </c>
      <c r="K31" s="39">
        <f t="shared" si="9"/>
        <v>1139.93</v>
      </c>
      <c r="L31" s="39">
        <f t="shared" si="9"/>
        <v>1151.31</v>
      </c>
    </row>
    <row r="32" spans="1:13" hidden="1" x14ac:dyDescent="0.25">
      <c r="C32" s="39">
        <f t="shared" ref="C32:C38" si="10">TRUNC(C22,3)</f>
        <v>1139.93</v>
      </c>
      <c r="D32" s="39">
        <f t="shared" si="9"/>
        <v>1151.31</v>
      </c>
      <c r="E32" s="39">
        <f t="shared" si="9"/>
        <v>1162.82</v>
      </c>
      <c r="F32" s="39">
        <f t="shared" si="9"/>
        <v>1174.47</v>
      </c>
      <c r="G32" s="39">
        <f t="shared" si="9"/>
        <v>1186.21</v>
      </c>
      <c r="H32" s="39">
        <f t="shared" si="9"/>
        <v>1198.05</v>
      </c>
      <c r="I32" s="39">
        <f t="shared" si="9"/>
        <v>1210.05</v>
      </c>
      <c r="J32" s="39">
        <f t="shared" si="9"/>
        <v>1222.1500000000001</v>
      </c>
      <c r="K32" s="39">
        <f t="shared" si="9"/>
        <v>1234.3699999999999</v>
      </c>
      <c r="L32" s="39">
        <f t="shared" si="9"/>
        <v>1246.72</v>
      </c>
    </row>
    <row r="33" spans="3:12" hidden="1" x14ac:dyDescent="0.25">
      <c r="C33" s="39">
        <f t="shared" si="10"/>
        <v>1234.3699999999999</v>
      </c>
      <c r="D33" s="39">
        <f t="shared" si="9"/>
        <v>1259.06</v>
      </c>
      <c r="E33" s="39">
        <f t="shared" si="9"/>
        <v>1284.24</v>
      </c>
      <c r="F33" s="39">
        <f t="shared" si="9"/>
        <v>1309.94</v>
      </c>
      <c r="G33" s="39">
        <f t="shared" si="9"/>
        <v>1336.13</v>
      </c>
      <c r="H33" s="39">
        <f t="shared" si="9"/>
        <v>1362.86</v>
      </c>
      <c r="I33" s="39">
        <f t="shared" si="9"/>
        <v>1390.11</v>
      </c>
      <c r="J33" s="39">
        <f t="shared" si="9"/>
        <v>1417.9</v>
      </c>
      <c r="K33" s="39">
        <f t="shared" si="9"/>
        <v>1446.27</v>
      </c>
      <c r="L33" s="39">
        <f t="shared" si="9"/>
        <v>1475.22</v>
      </c>
    </row>
    <row r="34" spans="3:12" hidden="1" x14ac:dyDescent="0.25">
      <c r="C34" s="39">
        <f t="shared" si="10"/>
        <v>1446.27</v>
      </c>
      <c r="D34" s="39">
        <f t="shared" si="9"/>
        <v>1475.22</v>
      </c>
      <c r="E34" s="39">
        <f t="shared" si="9"/>
        <v>1504.69</v>
      </c>
      <c r="F34" s="39">
        <f t="shared" si="9"/>
        <v>1534.79</v>
      </c>
      <c r="G34" s="39">
        <f t="shared" si="9"/>
        <v>1565.5</v>
      </c>
      <c r="H34" s="39">
        <f t="shared" si="9"/>
        <v>1596.79</v>
      </c>
      <c r="I34" s="39">
        <f t="shared" si="9"/>
        <v>1628.74</v>
      </c>
      <c r="J34" s="39">
        <f t="shared" si="9"/>
        <v>1661.29</v>
      </c>
      <c r="K34" s="39">
        <f t="shared" si="9"/>
        <v>1694.54</v>
      </c>
      <c r="L34" s="39">
        <f t="shared" si="9"/>
        <v>1728.42</v>
      </c>
    </row>
    <row r="35" spans="3:12" hidden="1" x14ac:dyDescent="0.25">
      <c r="C35" s="39">
        <f t="shared" si="10"/>
        <v>1694.54</v>
      </c>
      <c r="D35" s="39">
        <f t="shared" si="9"/>
        <v>1728.42</v>
      </c>
      <c r="E35" s="39">
        <f t="shared" si="9"/>
        <v>1763.02</v>
      </c>
      <c r="F35" s="39">
        <f t="shared" si="9"/>
        <v>1798.27</v>
      </c>
      <c r="G35" s="39">
        <f t="shared" si="9"/>
        <v>1834.21</v>
      </c>
      <c r="H35" s="39">
        <f t="shared" si="9"/>
        <v>1870.9</v>
      </c>
      <c r="I35" s="39">
        <f t="shared" si="9"/>
        <v>1908.31</v>
      </c>
      <c r="J35" s="39">
        <f t="shared" si="9"/>
        <v>1946.49</v>
      </c>
      <c r="K35" s="39">
        <f t="shared" si="9"/>
        <v>1985.43</v>
      </c>
      <c r="L35" s="39">
        <f t="shared" si="9"/>
        <v>2025.13</v>
      </c>
    </row>
    <row r="36" spans="3:12" hidden="1" x14ac:dyDescent="0.25">
      <c r="C36" s="39">
        <f t="shared" si="10"/>
        <v>1985.43</v>
      </c>
      <c r="D36" s="39">
        <f t="shared" si="9"/>
        <v>2054.92</v>
      </c>
      <c r="E36" s="39">
        <f t="shared" si="9"/>
        <v>2126.83</v>
      </c>
      <c r="F36" s="39">
        <f t="shared" si="9"/>
        <v>2201.27</v>
      </c>
      <c r="G36" s="39">
        <f t="shared" si="9"/>
        <v>2278.33</v>
      </c>
      <c r="H36" s="39">
        <f t="shared" si="9"/>
        <v>2358.0700000000002</v>
      </c>
      <c r="I36" s="39">
        <f t="shared" si="9"/>
        <v>2440.6</v>
      </c>
      <c r="J36" s="39">
        <f t="shared" si="9"/>
        <v>2526.02</v>
      </c>
      <c r="K36" s="39">
        <f t="shared" si="9"/>
        <v>2614.41</v>
      </c>
      <c r="L36" s="39">
        <f t="shared" si="9"/>
        <v>2705.94</v>
      </c>
    </row>
    <row r="37" spans="3:12" hidden="1" x14ac:dyDescent="0.25">
      <c r="C37" s="39">
        <f t="shared" si="10"/>
        <v>2614.41</v>
      </c>
      <c r="D37" s="39">
        <f t="shared" si="9"/>
        <v>2705.94</v>
      </c>
      <c r="E37" s="39">
        <f t="shared" si="9"/>
        <v>2800.64</v>
      </c>
      <c r="F37" s="39">
        <f t="shared" si="9"/>
        <v>2898.65</v>
      </c>
      <c r="G37" s="39">
        <f t="shared" si="9"/>
        <v>3000.1</v>
      </c>
      <c r="H37" s="39">
        <f t="shared" si="9"/>
        <v>3105.1</v>
      </c>
      <c r="I37" s="39">
        <f t="shared" si="9"/>
        <v>3213.78</v>
      </c>
      <c r="J37" s="39">
        <f t="shared" si="9"/>
        <v>3326.26</v>
      </c>
      <c r="K37" s="39">
        <f t="shared" si="9"/>
        <v>3442.69</v>
      </c>
      <c r="L37" s="39">
        <f t="shared" si="9"/>
        <v>3563.19</v>
      </c>
    </row>
    <row r="38" spans="3:12" hidden="1" x14ac:dyDescent="0.25">
      <c r="C38" s="39">
        <f t="shared" si="10"/>
        <v>3442.69</v>
      </c>
      <c r="D38" s="39">
        <f t="shared" si="9"/>
        <v>3563.19</v>
      </c>
      <c r="E38" s="39">
        <f t="shared" si="9"/>
        <v>3687.91</v>
      </c>
      <c r="F38" s="39">
        <f t="shared" si="9"/>
        <v>3816.99</v>
      </c>
      <c r="G38" s="39">
        <f t="shared" si="9"/>
        <v>3950.58</v>
      </c>
      <c r="H38" s="39">
        <f t="shared" si="9"/>
        <v>4088.84</v>
      </c>
      <c r="I38" s="39">
        <f t="shared" si="9"/>
        <v>4231.97</v>
      </c>
      <c r="J38" s="39">
        <f t="shared" si="9"/>
        <v>4380.07</v>
      </c>
      <c r="K38" s="39">
        <f t="shared" si="9"/>
        <v>4533.3900000000003</v>
      </c>
      <c r="L38" s="39">
        <f t="shared" si="9"/>
        <v>4692.03</v>
      </c>
    </row>
    <row r="39" spans="3:12" x14ac:dyDescent="0.25">
      <c r="C39" s="39"/>
      <c r="D39" s="39"/>
      <c r="E39" s="39"/>
      <c r="F39" s="39"/>
      <c r="G39" s="39"/>
      <c r="H39" s="39"/>
      <c r="I39" s="39"/>
      <c r="J39" s="39"/>
      <c r="K39" s="39"/>
      <c r="L39" s="39"/>
    </row>
  </sheetData>
  <mergeCells count="26">
    <mergeCell ref="F19:F20"/>
    <mergeCell ref="A1:L1"/>
    <mergeCell ref="A3:L3"/>
    <mergeCell ref="A5:A6"/>
    <mergeCell ref="B5:B6"/>
    <mergeCell ref="C5:C6"/>
    <mergeCell ref="D5:D6"/>
    <mergeCell ref="E5:E6"/>
    <mergeCell ref="F5:F6"/>
    <mergeCell ref="G5:G6"/>
    <mergeCell ref="H5:H6"/>
    <mergeCell ref="A19:A20"/>
    <mergeCell ref="B19:B20"/>
    <mergeCell ref="C19:C20"/>
    <mergeCell ref="D19:D20"/>
    <mergeCell ref="E19:E20"/>
    <mergeCell ref="L19:L20"/>
    <mergeCell ref="I5:I6"/>
    <mergeCell ref="J5:J6"/>
    <mergeCell ref="K5:K6"/>
    <mergeCell ref="L5:L6"/>
    <mergeCell ref="G19:G20"/>
    <mergeCell ref="H19:H20"/>
    <mergeCell ref="I19:I20"/>
    <mergeCell ref="J19:J20"/>
    <mergeCell ref="K19:K20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showGridLines="0" workbookViewId="0">
      <selection sqref="A1:I17"/>
    </sheetView>
  </sheetViews>
  <sheetFormatPr defaultRowHeight="15" x14ac:dyDescent="0.25"/>
  <cols>
    <col min="1" max="1" width="12" customWidth="1"/>
    <col min="2" max="2" width="14.140625" style="5" customWidth="1"/>
    <col min="3" max="4" width="10.5703125" style="5" bestFit="1" customWidth="1"/>
    <col min="5" max="5" width="18.5703125" style="5" customWidth="1"/>
    <col min="6" max="6" width="28.28515625" style="5" customWidth="1"/>
    <col min="7" max="9" width="10.5703125" style="5" bestFit="1" customWidth="1"/>
    <col min="10" max="10" width="11.5703125" bestFit="1" customWidth="1"/>
  </cols>
  <sheetData>
    <row r="1" spans="1:10" ht="33.75" customHeight="1" x14ac:dyDescent="0.25">
      <c r="A1" s="55"/>
      <c r="B1" s="77" t="s">
        <v>125</v>
      </c>
      <c r="C1" s="77"/>
      <c r="D1" s="77"/>
      <c r="E1" s="77"/>
      <c r="F1" s="77"/>
      <c r="G1" s="77"/>
      <c r="H1" s="77"/>
      <c r="I1" s="77"/>
    </row>
    <row r="2" spans="1:10" ht="15.75" thickBot="1" x14ac:dyDescent="0.3"/>
    <row r="3" spans="1:10" ht="15.75" thickBot="1" x14ac:dyDescent="0.3">
      <c r="A3" s="53"/>
      <c r="B3" s="74" t="s">
        <v>124</v>
      </c>
      <c r="C3" s="75"/>
      <c r="D3" s="75"/>
      <c r="E3" s="75"/>
      <c r="F3" s="75"/>
      <c r="G3" s="75"/>
      <c r="H3" s="75"/>
      <c r="I3" s="76"/>
    </row>
    <row r="4" spans="1:10" ht="16.5" customHeight="1" x14ac:dyDescent="0.25">
      <c r="A4" s="1"/>
      <c r="B4" s="6"/>
      <c r="C4" s="6"/>
      <c r="D4" s="6"/>
      <c r="E4" s="6"/>
      <c r="F4" s="6"/>
      <c r="G4" s="6"/>
      <c r="H4" s="6"/>
      <c r="I4" s="6"/>
    </row>
    <row r="5" spans="1:10" x14ac:dyDescent="0.25">
      <c r="E5" s="12" t="s">
        <v>17</v>
      </c>
      <c r="F5" s="54" t="s">
        <v>146</v>
      </c>
    </row>
    <row r="6" spans="1:10" ht="18" customHeight="1" x14ac:dyDescent="0.25">
      <c r="E6" s="2" t="s">
        <v>136</v>
      </c>
      <c r="F6" s="3">
        <f>F21*6%+F21</f>
        <v>10627.9416</v>
      </c>
      <c r="J6" s="9"/>
    </row>
    <row r="7" spans="1:10" ht="18" customHeight="1" x14ac:dyDescent="0.25">
      <c r="A7" s="4"/>
      <c r="E7" s="2" t="s">
        <v>137</v>
      </c>
      <c r="F7" s="3">
        <f t="shared" ref="F7:F14" si="0">F22*6%+F22</f>
        <v>11248.614</v>
      </c>
      <c r="G7" s="8"/>
      <c r="H7" s="8"/>
      <c r="I7" s="8"/>
    </row>
    <row r="8" spans="1:10" ht="18" customHeight="1" x14ac:dyDescent="0.25">
      <c r="E8" s="2" t="s">
        <v>138</v>
      </c>
      <c r="F8" s="3">
        <f t="shared" si="0"/>
        <v>11905.5278</v>
      </c>
    </row>
    <row r="9" spans="1:10" ht="18" customHeight="1" x14ac:dyDescent="0.25">
      <c r="E9" s="2" t="s">
        <v>139</v>
      </c>
      <c r="F9" s="3">
        <f t="shared" si="0"/>
        <v>12600.803</v>
      </c>
    </row>
    <row r="10" spans="1:10" ht="18" customHeight="1" x14ac:dyDescent="0.25">
      <c r="E10" s="2" t="s">
        <v>140</v>
      </c>
      <c r="F10" s="3">
        <f t="shared" si="0"/>
        <v>13336.7186</v>
      </c>
    </row>
    <row r="11" spans="1:10" ht="18" customHeight="1" x14ac:dyDescent="0.25">
      <c r="E11" s="2" t="s">
        <v>141</v>
      </c>
      <c r="F11" s="3">
        <f t="shared" si="0"/>
        <v>14115.564199999999</v>
      </c>
    </row>
    <row r="12" spans="1:10" ht="18" customHeight="1" x14ac:dyDescent="0.25">
      <c r="E12" s="2" t="s">
        <v>142</v>
      </c>
      <c r="F12" s="3">
        <f t="shared" si="0"/>
        <v>14939.9156</v>
      </c>
    </row>
    <row r="13" spans="1:10" ht="18" customHeight="1" x14ac:dyDescent="0.25">
      <c r="E13" s="2" t="s">
        <v>143</v>
      </c>
      <c r="F13" s="3">
        <f t="shared" si="0"/>
        <v>15812.401600000001</v>
      </c>
    </row>
    <row r="14" spans="1:10" ht="18" customHeight="1" x14ac:dyDescent="0.25">
      <c r="E14" s="2" t="s">
        <v>144</v>
      </c>
      <c r="F14" s="3">
        <f t="shared" si="0"/>
        <v>16735.8524</v>
      </c>
    </row>
    <row r="15" spans="1:10" ht="18" customHeight="1" x14ac:dyDescent="0.25">
      <c r="E15" s="2" t="s">
        <v>145</v>
      </c>
      <c r="F15" s="3">
        <f>F30*6%+F30</f>
        <v>17731.0016</v>
      </c>
    </row>
    <row r="18" spans="5:6" ht="32.450000000000003" customHeight="1" x14ac:dyDescent="0.25"/>
    <row r="19" spans="5:6" hidden="1" x14ac:dyDescent="0.25"/>
    <row r="20" spans="5:6" hidden="1" x14ac:dyDescent="0.25">
      <c r="E20" s="2" t="s">
        <v>17</v>
      </c>
      <c r="F20" s="57" t="s">
        <v>146</v>
      </c>
    </row>
    <row r="21" spans="5:6" hidden="1" x14ac:dyDescent="0.25">
      <c r="E21" s="2" t="s">
        <v>136</v>
      </c>
      <c r="F21" s="3">
        <v>10026.36</v>
      </c>
    </row>
    <row r="22" spans="5:6" hidden="1" x14ac:dyDescent="0.25">
      <c r="E22" s="2" t="s">
        <v>137</v>
      </c>
      <c r="F22" s="3">
        <v>10611.9</v>
      </c>
    </row>
    <row r="23" spans="5:6" hidden="1" x14ac:dyDescent="0.25">
      <c r="E23" s="2" t="s">
        <v>138</v>
      </c>
      <c r="F23" s="3">
        <v>11231.63</v>
      </c>
    </row>
    <row r="24" spans="5:6" hidden="1" x14ac:dyDescent="0.25">
      <c r="E24" s="2" t="s">
        <v>139</v>
      </c>
      <c r="F24" s="3">
        <v>11887.55</v>
      </c>
    </row>
    <row r="25" spans="5:6" hidden="1" x14ac:dyDescent="0.25">
      <c r="E25" s="2" t="s">
        <v>140</v>
      </c>
      <c r="F25" s="3">
        <v>12581.81</v>
      </c>
    </row>
    <row r="26" spans="5:6" hidden="1" x14ac:dyDescent="0.25">
      <c r="E26" s="2" t="s">
        <v>141</v>
      </c>
      <c r="F26" s="3">
        <v>13316.57</v>
      </c>
    </row>
    <row r="27" spans="5:6" hidden="1" x14ac:dyDescent="0.25">
      <c r="E27" s="2" t="s">
        <v>142</v>
      </c>
      <c r="F27" s="3">
        <v>14094.26</v>
      </c>
    </row>
    <row r="28" spans="5:6" hidden="1" x14ac:dyDescent="0.25">
      <c r="E28" s="2" t="s">
        <v>143</v>
      </c>
      <c r="F28" s="3">
        <v>14917.36</v>
      </c>
    </row>
    <row r="29" spans="5:6" hidden="1" x14ac:dyDescent="0.25">
      <c r="E29" s="2" t="s">
        <v>144</v>
      </c>
      <c r="F29" s="3">
        <v>15788.54</v>
      </c>
    </row>
    <row r="30" spans="5:6" hidden="1" x14ac:dyDescent="0.25">
      <c r="E30" s="2" t="s">
        <v>145</v>
      </c>
      <c r="F30" s="3">
        <v>16727.36</v>
      </c>
    </row>
  </sheetData>
  <mergeCells count="2">
    <mergeCell ref="B3:I3"/>
    <mergeCell ref="B1:I1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5"/>
  <sheetViews>
    <sheetView showGridLines="0" workbookViewId="0">
      <selection activeCell="A3" sqref="A3:K3"/>
    </sheetView>
  </sheetViews>
  <sheetFormatPr defaultRowHeight="15" x14ac:dyDescent="0.25"/>
  <cols>
    <col min="1" max="1" width="7.140625" bestFit="1" customWidth="1"/>
    <col min="2" max="11" width="10.5703125" style="5" bestFit="1" customWidth="1"/>
    <col min="12" max="12" width="11.5703125" bestFit="1" customWidth="1"/>
  </cols>
  <sheetData>
    <row r="1" spans="1:23" ht="36" customHeight="1" x14ac:dyDescent="0.25">
      <c r="A1" s="60" t="s">
        <v>127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23" ht="15" customHeight="1" thickBot="1" x14ac:dyDescent="0.3"/>
    <row r="3" spans="1:23" ht="15.75" thickBot="1" x14ac:dyDescent="0.3">
      <c r="A3" s="74" t="s">
        <v>126</v>
      </c>
      <c r="B3" s="75"/>
      <c r="C3" s="75"/>
      <c r="D3" s="75"/>
      <c r="E3" s="75"/>
      <c r="F3" s="75"/>
      <c r="G3" s="75"/>
      <c r="H3" s="75"/>
      <c r="I3" s="75"/>
      <c r="J3" s="75"/>
      <c r="K3" s="76"/>
    </row>
    <row r="4" spans="1:23" ht="15.75" x14ac:dyDescent="0.25">
      <c r="A4" s="1"/>
      <c r="B4" s="6"/>
      <c r="C4" s="6"/>
      <c r="D4" s="6"/>
      <c r="E4" s="6"/>
      <c r="F4" s="6"/>
      <c r="G4" s="6"/>
      <c r="H4" s="6"/>
      <c r="I4" s="6"/>
      <c r="J4" s="6"/>
      <c r="K4" s="6"/>
    </row>
    <row r="5" spans="1:23" x14ac:dyDescent="0.25">
      <c r="A5" s="2" t="s">
        <v>15</v>
      </c>
      <c r="B5" s="7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</row>
    <row r="6" spans="1:23" x14ac:dyDescent="0.25">
      <c r="A6" s="2" t="s">
        <v>16</v>
      </c>
      <c r="B6" s="3">
        <f>(B9*6%)+B9</f>
        <v>3661.4414000000002</v>
      </c>
      <c r="C6" s="3">
        <f t="shared" ref="C6:K6" si="0">(C9*6%)+C9</f>
        <v>3789.6059999999998</v>
      </c>
      <c r="D6" s="3">
        <f t="shared" si="0"/>
        <v>3922.2226000000001</v>
      </c>
      <c r="E6" s="3">
        <f t="shared" si="0"/>
        <v>4059.5138000000002</v>
      </c>
      <c r="F6" s="3">
        <f t="shared" si="0"/>
        <v>4201.5962</v>
      </c>
      <c r="G6" s="3">
        <f t="shared" si="0"/>
        <v>4348.6606000000002</v>
      </c>
      <c r="H6" s="3">
        <f t="shared" si="0"/>
        <v>4500.8447999999999</v>
      </c>
      <c r="I6" s="3">
        <f t="shared" si="0"/>
        <v>4658.3819999999996</v>
      </c>
      <c r="J6" s="3">
        <f t="shared" si="0"/>
        <v>4821.4206000000004</v>
      </c>
      <c r="K6" s="3">
        <f t="shared" si="0"/>
        <v>4990.1725999999999</v>
      </c>
      <c r="L6" s="9"/>
    </row>
    <row r="7" spans="1:23" x14ac:dyDescent="0.25">
      <c r="A7" s="4"/>
      <c r="B7" s="8"/>
      <c r="C7" s="8"/>
      <c r="D7" s="8"/>
      <c r="E7" s="8"/>
      <c r="F7" s="8"/>
      <c r="G7" s="8"/>
      <c r="H7" s="8"/>
      <c r="I7" s="8"/>
      <c r="J7" s="8"/>
      <c r="K7" s="8"/>
    </row>
    <row r="8" spans="1:23" ht="19.5" hidden="1" customHeight="1" x14ac:dyDescent="0.25">
      <c r="A8" s="2" t="s">
        <v>15</v>
      </c>
      <c r="B8" s="7" t="s">
        <v>0</v>
      </c>
      <c r="C8" s="7" t="s">
        <v>1</v>
      </c>
      <c r="D8" s="7" t="s">
        <v>2</v>
      </c>
      <c r="E8" s="7" t="s">
        <v>3</v>
      </c>
      <c r="F8" s="7" t="s">
        <v>4</v>
      </c>
      <c r="G8" s="7" t="s">
        <v>5</v>
      </c>
      <c r="H8" s="7" t="s">
        <v>6</v>
      </c>
      <c r="I8" s="7" t="s">
        <v>7</v>
      </c>
      <c r="J8" s="7" t="s">
        <v>8</v>
      </c>
      <c r="K8" s="7" t="s">
        <v>9</v>
      </c>
    </row>
    <row r="9" spans="1:23" hidden="1" x14ac:dyDescent="0.25">
      <c r="A9" s="2" t="s">
        <v>16</v>
      </c>
      <c r="B9" s="3">
        <v>3454.19</v>
      </c>
      <c r="C9" s="3">
        <v>3575.1</v>
      </c>
      <c r="D9" s="3">
        <v>3700.21</v>
      </c>
      <c r="E9" s="3">
        <v>3829.73</v>
      </c>
      <c r="F9" s="3">
        <v>3963.77</v>
      </c>
      <c r="G9" s="3">
        <v>4102.51</v>
      </c>
      <c r="H9" s="3">
        <v>4246.08</v>
      </c>
      <c r="I9" s="3">
        <v>4394.7</v>
      </c>
      <c r="J9" s="3">
        <v>4548.51</v>
      </c>
      <c r="K9" s="3">
        <v>4707.71</v>
      </c>
      <c r="L9" s="9"/>
    </row>
    <row r="10" spans="1:23" hidden="1" x14ac:dyDescent="0.25"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x14ac:dyDescent="0.25">
      <c r="N11" s="9"/>
      <c r="O11" s="9"/>
      <c r="P11" s="9"/>
      <c r="Q11" s="9"/>
      <c r="R11" s="9"/>
      <c r="S11" s="9"/>
      <c r="T11" s="9"/>
      <c r="U11" s="9"/>
      <c r="V11" s="9"/>
      <c r="W11" s="9"/>
    </row>
    <row r="15" spans="1:23" x14ac:dyDescent="0.25">
      <c r="L15" s="11"/>
      <c r="M15" s="11"/>
      <c r="N15" s="11"/>
      <c r="O15" s="11"/>
    </row>
  </sheetData>
  <mergeCells count="2">
    <mergeCell ref="A1:K1"/>
    <mergeCell ref="A3:K3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"/>
  <sheetViews>
    <sheetView showGridLines="0" workbookViewId="0">
      <selection sqref="A1:I18"/>
    </sheetView>
  </sheetViews>
  <sheetFormatPr defaultRowHeight="15" x14ac:dyDescent="0.25"/>
  <cols>
    <col min="1" max="1" width="12" customWidth="1"/>
    <col min="2" max="2" width="14.140625" style="5" customWidth="1"/>
    <col min="3" max="4" width="10.5703125" style="5" bestFit="1" customWidth="1"/>
    <col min="5" max="5" width="18.5703125" style="5" customWidth="1"/>
    <col min="6" max="6" width="28.28515625" style="5" customWidth="1"/>
    <col min="7" max="9" width="10.5703125" style="5" bestFit="1" customWidth="1"/>
    <col min="10" max="10" width="11.5703125" bestFit="1" customWidth="1"/>
  </cols>
  <sheetData>
    <row r="1" spans="1:12" ht="33.75" customHeight="1" x14ac:dyDescent="0.25">
      <c r="A1" s="55"/>
      <c r="B1" s="67" t="s">
        <v>131</v>
      </c>
      <c r="C1" s="67"/>
      <c r="D1" s="67"/>
      <c r="E1" s="67"/>
      <c r="F1" s="67"/>
      <c r="G1" s="67"/>
      <c r="H1" s="67"/>
      <c r="I1" s="67"/>
      <c r="J1" s="56"/>
      <c r="K1" s="56"/>
      <c r="L1" s="56"/>
    </row>
    <row r="2" spans="1:12" ht="15.75" thickBot="1" x14ac:dyDescent="0.3"/>
    <row r="3" spans="1:12" ht="15.75" thickBot="1" x14ac:dyDescent="0.3">
      <c r="A3" s="53"/>
      <c r="B3" s="74" t="s">
        <v>128</v>
      </c>
      <c r="C3" s="75"/>
      <c r="D3" s="75"/>
      <c r="E3" s="75"/>
      <c r="F3" s="75"/>
      <c r="G3" s="75"/>
      <c r="H3" s="75"/>
      <c r="I3" s="76"/>
    </row>
    <row r="4" spans="1:12" ht="16.5" customHeight="1" x14ac:dyDescent="0.25">
      <c r="A4" s="1"/>
      <c r="B4" s="6"/>
      <c r="C4" s="6"/>
      <c r="D4" s="6"/>
      <c r="E4" s="6"/>
      <c r="F4" s="6"/>
      <c r="G4" s="6"/>
      <c r="H4" s="6"/>
      <c r="I4" s="6"/>
    </row>
    <row r="5" spans="1:12" x14ac:dyDescent="0.25">
      <c r="E5" s="12" t="s">
        <v>17</v>
      </c>
      <c r="F5" s="54" t="s">
        <v>146</v>
      </c>
    </row>
    <row r="6" spans="1:12" ht="18" customHeight="1" x14ac:dyDescent="0.25">
      <c r="E6" s="2" t="s">
        <v>147</v>
      </c>
      <c r="F6" s="3">
        <f>F21*6%+F21</f>
        <v>10627.9416</v>
      </c>
      <c r="J6" s="9"/>
    </row>
    <row r="7" spans="1:12" ht="18" customHeight="1" x14ac:dyDescent="0.25">
      <c r="A7" s="4"/>
      <c r="E7" s="2" t="s">
        <v>148</v>
      </c>
      <c r="F7" s="3">
        <f t="shared" ref="F7:F14" si="0">F22*6%+F22</f>
        <v>11248.614</v>
      </c>
      <c r="G7" s="8"/>
      <c r="H7" s="8"/>
      <c r="I7" s="8"/>
    </row>
    <row r="8" spans="1:12" ht="18" customHeight="1" x14ac:dyDescent="0.25">
      <c r="E8" s="2" t="s">
        <v>149</v>
      </c>
      <c r="F8" s="3">
        <f t="shared" si="0"/>
        <v>11905.5278</v>
      </c>
    </row>
    <row r="9" spans="1:12" ht="18" customHeight="1" x14ac:dyDescent="0.25">
      <c r="E9" s="2" t="s">
        <v>150</v>
      </c>
      <c r="F9" s="3">
        <f t="shared" si="0"/>
        <v>12600.803</v>
      </c>
    </row>
    <row r="10" spans="1:12" ht="18" customHeight="1" x14ac:dyDescent="0.25">
      <c r="E10" s="2" t="s">
        <v>151</v>
      </c>
      <c r="F10" s="3">
        <f t="shared" si="0"/>
        <v>13336.7186</v>
      </c>
    </row>
    <row r="11" spans="1:12" ht="18" customHeight="1" x14ac:dyDescent="0.25">
      <c r="E11" s="2" t="s">
        <v>152</v>
      </c>
      <c r="F11" s="3">
        <f t="shared" si="0"/>
        <v>14115.564199999999</v>
      </c>
    </row>
    <row r="12" spans="1:12" ht="18" customHeight="1" x14ac:dyDescent="0.25">
      <c r="E12" s="2" t="s">
        <v>153</v>
      </c>
      <c r="F12" s="3">
        <f t="shared" si="0"/>
        <v>14939.9156</v>
      </c>
    </row>
    <row r="13" spans="1:12" ht="18" customHeight="1" x14ac:dyDescent="0.25">
      <c r="E13" s="2" t="s">
        <v>154</v>
      </c>
      <c r="F13" s="3">
        <f t="shared" si="0"/>
        <v>15812.401600000001</v>
      </c>
    </row>
    <row r="14" spans="1:12" ht="18" customHeight="1" x14ac:dyDescent="0.25">
      <c r="E14" s="2" t="s">
        <v>155</v>
      </c>
      <c r="F14" s="3">
        <f t="shared" si="0"/>
        <v>16735.8524</v>
      </c>
    </row>
    <row r="15" spans="1:12" ht="18" customHeight="1" x14ac:dyDescent="0.25">
      <c r="E15" s="2" t="s">
        <v>156</v>
      </c>
      <c r="F15" s="3">
        <f>F30*6%+F30</f>
        <v>17731.0016</v>
      </c>
    </row>
    <row r="18" spans="5:6" ht="32.450000000000003" customHeight="1" x14ac:dyDescent="0.25"/>
    <row r="19" spans="5:6" hidden="1" x14ac:dyDescent="0.25"/>
    <row r="20" spans="5:6" hidden="1" x14ac:dyDescent="0.25">
      <c r="E20" s="2" t="s">
        <v>17</v>
      </c>
      <c r="F20" s="54" t="s">
        <v>146</v>
      </c>
    </row>
    <row r="21" spans="5:6" hidden="1" x14ac:dyDescent="0.25">
      <c r="E21" s="2" t="s">
        <v>147</v>
      </c>
      <c r="F21" s="3">
        <v>10026.36</v>
      </c>
    </row>
    <row r="22" spans="5:6" hidden="1" x14ac:dyDescent="0.25">
      <c r="E22" s="2" t="s">
        <v>148</v>
      </c>
      <c r="F22" s="3">
        <v>10611.9</v>
      </c>
    </row>
    <row r="23" spans="5:6" hidden="1" x14ac:dyDescent="0.25">
      <c r="E23" s="2" t="s">
        <v>149</v>
      </c>
      <c r="F23" s="3">
        <v>11231.63</v>
      </c>
    </row>
    <row r="24" spans="5:6" hidden="1" x14ac:dyDescent="0.25">
      <c r="E24" s="2" t="s">
        <v>150</v>
      </c>
      <c r="F24" s="3">
        <v>11887.55</v>
      </c>
    </row>
    <row r="25" spans="5:6" hidden="1" x14ac:dyDescent="0.25">
      <c r="E25" s="2" t="s">
        <v>151</v>
      </c>
      <c r="F25" s="3">
        <v>12581.81</v>
      </c>
    </row>
    <row r="26" spans="5:6" hidden="1" x14ac:dyDescent="0.25">
      <c r="E26" s="2" t="s">
        <v>152</v>
      </c>
      <c r="F26" s="3">
        <v>13316.57</v>
      </c>
    </row>
    <row r="27" spans="5:6" hidden="1" x14ac:dyDescent="0.25">
      <c r="E27" s="2" t="s">
        <v>153</v>
      </c>
      <c r="F27" s="3">
        <v>14094.26</v>
      </c>
    </row>
    <row r="28" spans="5:6" hidden="1" x14ac:dyDescent="0.25">
      <c r="E28" s="2" t="s">
        <v>154</v>
      </c>
      <c r="F28" s="3">
        <v>14917.36</v>
      </c>
    </row>
    <row r="29" spans="5:6" hidden="1" x14ac:dyDescent="0.25">
      <c r="E29" s="2" t="s">
        <v>155</v>
      </c>
      <c r="F29" s="3">
        <v>15788.54</v>
      </c>
    </row>
    <row r="30" spans="5:6" hidden="1" x14ac:dyDescent="0.25">
      <c r="E30" s="2" t="s">
        <v>156</v>
      </c>
      <c r="F30" s="3">
        <v>16727.36</v>
      </c>
    </row>
  </sheetData>
  <mergeCells count="2">
    <mergeCell ref="B1:I1"/>
    <mergeCell ref="B3:I3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"/>
  <sheetViews>
    <sheetView showGridLines="0" workbookViewId="0">
      <selection activeCell="G9" sqref="G9"/>
    </sheetView>
  </sheetViews>
  <sheetFormatPr defaultRowHeight="15" x14ac:dyDescent="0.25"/>
  <cols>
    <col min="1" max="1" width="12" customWidth="1"/>
    <col min="2" max="2" width="14.140625" style="5" customWidth="1"/>
    <col min="3" max="4" width="10.5703125" style="5" bestFit="1" customWidth="1"/>
    <col min="5" max="5" width="18.5703125" style="5" customWidth="1"/>
    <col min="6" max="6" width="28.28515625" style="5" customWidth="1"/>
    <col min="7" max="9" width="10.5703125" style="5" bestFit="1" customWidth="1"/>
    <col min="10" max="10" width="11.5703125" bestFit="1" customWidth="1"/>
  </cols>
  <sheetData>
    <row r="1" spans="1:12" ht="33.75" customHeight="1" x14ac:dyDescent="0.25">
      <c r="A1" s="55"/>
      <c r="B1" s="67" t="s">
        <v>130</v>
      </c>
      <c r="C1" s="67"/>
      <c r="D1" s="67"/>
      <c r="E1" s="67"/>
      <c r="F1" s="67"/>
      <c r="G1" s="67"/>
      <c r="H1" s="67"/>
      <c r="I1" s="67"/>
      <c r="J1" s="56"/>
      <c r="K1" s="56"/>
      <c r="L1" s="56"/>
    </row>
    <row r="2" spans="1:12" ht="15.75" thickBot="1" x14ac:dyDescent="0.3"/>
    <row r="3" spans="1:12" ht="15.75" thickBot="1" x14ac:dyDescent="0.3">
      <c r="A3" s="53"/>
      <c r="B3" s="74" t="s">
        <v>129</v>
      </c>
      <c r="C3" s="75"/>
      <c r="D3" s="75"/>
      <c r="E3" s="75"/>
      <c r="F3" s="75"/>
      <c r="G3" s="75"/>
      <c r="H3" s="75"/>
      <c r="I3" s="76"/>
    </row>
    <row r="4" spans="1:12" ht="16.5" customHeight="1" x14ac:dyDescent="0.25">
      <c r="A4" s="1"/>
      <c r="B4" s="6"/>
      <c r="C4" s="6"/>
      <c r="D4" s="6"/>
      <c r="E4" s="6"/>
      <c r="F4" s="6"/>
      <c r="G4" s="6"/>
      <c r="H4" s="6"/>
      <c r="I4" s="6"/>
    </row>
    <row r="5" spans="1:12" x14ac:dyDescent="0.25">
      <c r="E5" s="12" t="s">
        <v>17</v>
      </c>
      <c r="F5" s="54" t="s">
        <v>146</v>
      </c>
    </row>
    <row r="6" spans="1:12" ht="18" customHeight="1" x14ac:dyDescent="0.25">
      <c r="E6" s="2" t="s">
        <v>157</v>
      </c>
      <c r="F6" s="3">
        <f>F21*6%+F21</f>
        <v>10627.9416</v>
      </c>
      <c r="J6" s="9"/>
    </row>
    <row r="7" spans="1:12" ht="18" customHeight="1" x14ac:dyDescent="0.25">
      <c r="A7" s="4"/>
      <c r="E7" s="2" t="s">
        <v>158</v>
      </c>
      <c r="F7" s="3">
        <f t="shared" ref="F7:F14" si="0">F22*6%+F22</f>
        <v>11248.614</v>
      </c>
      <c r="G7" s="8"/>
      <c r="H7" s="8"/>
      <c r="I7" s="8"/>
    </row>
    <row r="8" spans="1:12" ht="18" customHeight="1" x14ac:dyDescent="0.25">
      <c r="E8" s="2" t="s">
        <v>159</v>
      </c>
      <c r="F8" s="3">
        <f t="shared" si="0"/>
        <v>11905.5278</v>
      </c>
    </row>
    <row r="9" spans="1:12" ht="18" customHeight="1" x14ac:dyDescent="0.25">
      <c r="E9" s="2" t="s">
        <v>160</v>
      </c>
      <c r="F9" s="3">
        <f t="shared" si="0"/>
        <v>12600.803</v>
      </c>
    </row>
    <row r="10" spans="1:12" ht="18" customHeight="1" x14ac:dyDescent="0.25">
      <c r="E10" s="2" t="s">
        <v>161</v>
      </c>
      <c r="F10" s="3">
        <f t="shared" si="0"/>
        <v>13336.7186</v>
      </c>
    </row>
    <row r="11" spans="1:12" ht="18" customHeight="1" x14ac:dyDescent="0.25">
      <c r="E11" s="2" t="s">
        <v>162</v>
      </c>
      <c r="F11" s="3">
        <f t="shared" si="0"/>
        <v>14115.564199999999</v>
      </c>
    </row>
    <row r="12" spans="1:12" ht="18" customHeight="1" x14ac:dyDescent="0.25">
      <c r="E12" s="2" t="s">
        <v>163</v>
      </c>
      <c r="F12" s="3">
        <f t="shared" si="0"/>
        <v>14939.9156</v>
      </c>
    </row>
    <row r="13" spans="1:12" ht="18" customHeight="1" x14ac:dyDescent="0.25">
      <c r="E13" s="2" t="s">
        <v>164</v>
      </c>
      <c r="F13" s="3">
        <f t="shared" si="0"/>
        <v>15812.401600000001</v>
      </c>
    </row>
    <row r="14" spans="1:12" ht="18" customHeight="1" x14ac:dyDescent="0.25">
      <c r="E14" s="2" t="s">
        <v>165</v>
      </c>
      <c r="F14" s="3">
        <f t="shared" si="0"/>
        <v>16735.8524</v>
      </c>
    </row>
    <row r="15" spans="1:12" ht="18" customHeight="1" x14ac:dyDescent="0.25">
      <c r="E15" s="2" t="s">
        <v>166</v>
      </c>
      <c r="F15" s="3">
        <f>F30*6%+F30</f>
        <v>17731.0016</v>
      </c>
    </row>
    <row r="18" spans="5:6" ht="32.450000000000003" customHeight="1" x14ac:dyDescent="0.25"/>
    <row r="19" spans="5:6" hidden="1" x14ac:dyDescent="0.25"/>
    <row r="20" spans="5:6" hidden="1" x14ac:dyDescent="0.25">
      <c r="E20" s="2" t="s">
        <v>17</v>
      </c>
      <c r="F20" s="54" t="s">
        <v>146</v>
      </c>
    </row>
    <row r="21" spans="5:6" hidden="1" x14ac:dyDescent="0.25">
      <c r="E21" s="2" t="s">
        <v>157</v>
      </c>
      <c r="F21" s="3">
        <v>10026.36</v>
      </c>
    </row>
    <row r="22" spans="5:6" hidden="1" x14ac:dyDescent="0.25">
      <c r="E22" s="2" t="s">
        <v>158</v>
      </c>
      <c r="F22" s="3">
        <v>10611.9</v>
      </c>
    </row>
    <row r="23" spans="5:6" hidden="1" x14ac:dyDescent="0.25">
      <c r="E23" s="2" t="s">
        <v>159</v>
      </c>
      <c r="F23" s="3">
        <v>11231.63</v>
      </c>
    </row>
    <row r="24" spans="5:6" hidden="1" x14ac:dyDescent="0.25">
      <c r="E24" s="2" t="s">
        <v>160</v>
      </c>
      <c r="F24" s="3">
        <v>11887.55</v>
      </c>
    </row>
    <row r="25" spans="5:6" hidden="1" x14ac:dyDescent="0.25">
      <c r="E25" s="2" t="s">
        <v>161</v>
      </c>
      <c r="F25" s="3">
        <v>12581.81</v>
      </c>
    </row>
    <row r="26" spans="5:6" hidden="1" x14ac:dyDescent="0.25">
      <c r="E26" s="2" t="s">
        <v>162</v>
      </c>
      <c r="F26" s="3">
        <v>13316.57</v>
      </c>
    </row>
    <row r="27" spans="5:6" hidden="1" x14ac:dyDescent="0.25">
      <c r="E27" s="2" t="s">
        <v>163</v>
      </c>
      <c r="F27" s="3">
        <v>14094.26</v>
      </c>
    </row>
    <row r="28" spans="5:6" hidden="1" x14ac:dyDescent="0.25">
      <c r="E28" s="2" t="s">
        <v>164</v>
      </c>
      <c r="F28" s="3">
        <v>14917.36</v>
      </c>
    </row>
    <row r="29" spans="5:6" hidden="1" x14ac:dyDescent="0.25">
      <c r="E29" s="2" t="s">
        <v>165</v>
      </c>
      <c r="F29" s="3">
        <v>15788.54</v>
      </c>
    </row>
    <row r="30" spans="5:6" hidden="1" x14ac:dyDescent="0.25">
      <c r="E30" s="2" t="s">
        <v>166</v>
      </c>
      <c r="F30" s="3">
        <v>16727.36</v>
      </c>
    </row>
  </sheetData>
  <mergeCells count="2">
    <mergeCell ref="B1:I1"/>
    <mergeCell ref="B3:I3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showGridLines="0" workbookViewId="0">
      <selection sqref="A1:K1"/>
    </sheetView>
  </sheetViews>
  <sheetFormatPr defaultRowHeight="15" x14ac:dyDescent="0.25"/>
  <cols>
    <col min="1" max="1" width="7.140625" bestFit="1" customWidth="1"/>
    <col min="2" max="11" width="10.5703125" style="5" bestFit="1" customWidth="1"/>
    <col min="12" max="12" width="11.5703125" bestFit="1" customWidth="1"/>
  </cols>
  <sheetData>
    <row r="1" spans="1:12" ht="15.75" customHeight="1" x14ac:dyDescent="0.25">
      <c r="A1" s="78" t="s">
        <v>132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2" ht="15.75" customHeight="1" thickBot="1" x14ac:dyDescent="0.3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2" ht="15.75" thickBot="1" x14ac:dyDescent="0.3">
      <c r="A3" s="74" t="s">
        <v>133</v>
      </c>
      <c r="B3" s="75"/>
      <c r="C3" s="75"/>
      <c r="D3" s="75"/>
      <c r="E3" s="75"/>
      <c r="F3" s="75"/>
      <c r="G3" s="75"/>
      <c r="H3" s="75"/>
      <c r="I3" s="75"/>
      <c r="J3" s="75"/>
      <c r="K3" s="76"/>
    </row>
    <row r="4" spans="1:12" ht="15.75" x14ac:dyDescent="0.25">
      <c r="A4" s="1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2" x14ac:dyDescent="0.25">
      <c r="A5" s="2" t="s">
        <v>15</v>
      </c>
      <c r="B5" s="7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</row>
    <row r="6" spans="1:12" x14ac:dyDescent="0.25">
      <c r="A6" s="2" t="s">
        <v>12</v>
      </c>
      <c r="B6" s="3">
        <f>(B11*6%)+B11</f>
        <v>6538.3026</v>
      </c>
      <c r="C6" s="3">
        <f t="shared" ref="C6:K6" si="0">(C11*6%)+C11</f>
        <v>6767.0929999999998</v>
      </c>
      <c r="D6" s="3">
        <f t="shared" si="0"/>
        <v>7004.0030000000006</v>
      </c>
      <c r="E6" s="3">
        <f t="shared" si="0"/>
        <v>7249.1067999999996</v>
      </c>
      <c r="F6" s="3">
        <f t="shared" si="0"/>
        <v>7502.8284000000003</v>
      </c>
      <c r="G6" s="3">
        <f t="shared" si="0"/>
        <v>7765.4222</v>
      </c>
      <c r="H6" s="3">
        <f t="shared" si="0"/>
        <v>8037.2062000000005</v>
      </c>
      <c r="I6" s="3">
        <f t="shared" si="0"/>
        <v>8318.5408000000007</v>
      </c>
      <c r="J6" s="3">
        <f t="shared" si="0"/>
        <v>8609.6273999999994</v>
      </c>
      <c r="K6" s="3">
        <f t="shared" si="0"/>
        <v>8911.0596000000005</v>
      </c>
      <c r="L6" s="9"/>
    </row>
    <row r="7" spans="1:12" x14ac:dyDescent="0.25">
      <c r="A7" s="2" t="s">
        <v>13</v>
      </c>
      <c r="B7" s="3">
        <f>(B12*6%)+B12</f>
        <v>9222.848</v>
      </c>
      <c r="C7" s="3">
        <f t="shared" ref="C7:K7" si="1">(C12*6%)+C12</f>
        <v>9545.7981999999993</v>
      </c>
      <c r="D7" s="3">
        <f t="shared" si="1"/>
        <v>9879.8148000000001</v>
      </c>
      <c r="E7" s="3">
        <f t="shared" si="1"/>
        <v>10225.586800000001</v>
      </c>
      <c r="F7" s="3">
        <f t="shared" si="1"/>
        <v>10583.453399999999</v>
      </c>
      <c r="G7" s="3">
        <f t="shared" si="1"/>
        <v>10953.912799999998</v>
      </c>
      <c r="H7" s="3">
        <f t="shared" si="1"/>
        <v>11337.3678</v>
      </c>
      <c r="I7" s="3">
        <f t="shared" si="1"/>
        <v>11734.0834</v>
      </c>
      <c r="J7" s="3">
        <f t="shared" si="1"/>
        <v>12144.8228</v>
      </c>
      <c r="K7" s="3">
        <f t="shared" si="1"/>
        <v>12569.882799999999</v>
      </c>
    </row>
    <row r="8" spans="1:12" x14ac:dyDescent="0.25">
      <c r="A8" s="2" t="s">
        <v>14</v>
      </c>
      <c r="B8" s="3">
        <f>(B13*6%)+B13</f>
        <v>13009.825199999999</v>
      </c>
      <c r="C8" s="3">
        <f t="shared" ref="C8:K8" si="2">(C13*6%)+C13</f>
        <v>13465.169399999999</v>
      </c>
      <c r="D8" s="3">
        <f t="shared" si="2"/>
        <v>13936.424199999999</v>
      </c>
      <c r="E8" s="3">
        <f t="shared" si="2"/>
        <v>14424.193799999999</v>
      </c>
      <c r="F8" s="3">
        <f t="shared" si="2"/>
        <v>14929.071800000002</v>
      </c>
      <c r="G8" s="3">
        <f t="shared" si="2"/>
        <v>15451.5988</v>
      </c>
      <c r="H8" s="3">
        <f t="shared" si="2"/>
        <v>15795.897400000002</v>
      </c>
      <c r="I8" s="3">
        <f t="shared" si="2"/>
        <v>16552.1014</v>
      </c>
      <c r="J8" s="3">
        <f t="shared" si="2"/>
        <v>17131.507999999998</v>
      </c>
      <c r="K8" s="3">
        <f t="shared" si="2"/>
        <v>17731.054599999999</v>
      </c>
      <c r="L8" s="9"/>
    </row>
    <row r="9" spans="1:12" x14ac:dyDescent="0.25">
      <c r="A9" s="4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2" hidden="1" x14ac:dyDescent="0.25">
      <c r="A10" s="2" t="s">
        <v>15</v>
      </c>
      <c r="B10" s="7" t="s">
        <v>0</v>
      </c>
      <c r="C10" s="7" t="s">
        <v>1</v>
      </c>
      <c r="D10" s="7" t="s">
        <v>2</v>
      </c>
      <c r="E10" s="7" t="s">
        <v>3</v>
      </c>
      <c r="F10" s="7" t="s">
        <v>4</v>
      </c>
      <c r="G10" s="7" t="s">
        <v>5</v>
      </c>
      <c r="H10" s="7" t="s">
        <v>6</v>
      </c>
      <c r="I10" s="7" t="s">
        <v>7</v>
      </c>
      <c r="J10" s="7" t="s">
        <v>8</v>
      </c>
      <c r="K10" s="7" t="s">
        <v>9</v>
      </c>
    </row>
    <row r="11" spans="1:12" hidden="1" x14ac:dyDescent="0.25">
      <c r="A11" s="2" t="s">
        <v>12</v>
      </c>
      <c r="B11" s="3">
        <v>6168.21</v>
      </c>
      <c r="C11" s="3">
        <v>6384.05</v>
      </c>
      <c r="D11" s="3">
        <v>6607.55</v>
      </c>
      <c r="E11" s="3">
        <v>6838.78</v>
      </c>
      <c r="F11" s="3">
        <v>7078.14</v>
      </c>
      <c r="G11" s="3">
        <v>7325.87</v>
      </c>
      <c r="H11" s="3">
        <v>7582.27</v>
      </c>
      <c r="I11" s="3">
        <v>7847.68</v>
      </c>
      <c r="J11" s="3">
        <v>8122.29</v>
      </c>
      <c r="K11" s="3">
        <v>8406.66</v>
      </c>
      <c r="L11" s="9"/>
    </row>
    <row r="12" spans="1:12" hidden="1" x14ac:dyDescent="0.25">
      <c r="A12" s="2" t="s">
        <v>13</v>
      </c>
      <c r="B12" s="3">
        <v>8700.7999999999993</v>
      </c>
      <c r="C12" s="3">
        <v>9005.4699999999993</v>
      </c>
      <c r="D12" s="3">
        <v>9320.58</v>
      </c>
      <c r="E12" s="3">
        <v>9646.7800000000007</v>
      </c>
      <c r="F12" s="3">
        <v>9984.39</v>
      </c>
      <c r="G12" s="3">
        <v>10333.879999999999</v>
      </c>
      <c r="H12" s="3">
        <v>10695.63</v>
      </c>
      <c r="I12" s="3">
        <v>11069.89</v>
      </c>
      <c r="J12" s="3">
        <v>11457.38</v>
      </c>
      <c r="K12" s="3">
        <v>11858.38</v>
      </c>
    </row>
    <row r="13" spans="1:12" hidden="1" x14ac:dyDescent="0.25">
      <c r="A13" s="2" t="s">
        <v>14</v>
      </c>
      <c r="B13" s="3">
        <v>12273.42</v>
      </c>
      <c r="C13" s="3">
        <v>12702.99</v>
      </c>
      <c r="D13" s="3">
        <v>13147.57</v>
      </c>
      <c r="E13" s="3">
        <v>13607.73</v>
      </c>
      <c r="F13" s="3">
        <v>14084.03</v>
      </c>
      <c r="G13" s="3">
        <v>14576.98</v>
      </c>
      <c r="H13" s="3">
        <v>14901.79</v>
      </c>
      <c r="I13" s="3">
        <v>15615.19</v>
      </c>
      <c r="J13" s="3">
        <v>16161.8</v>
      </c>
      <c r="K13" s="3">
        <v>16727.41</v>
      </c>
      <c r="L13" s="9"/>
    </row>
  </sheetData>
  <mergeCells count="3">
    <mergeCell ref="A1:K1"/>
    <mergeCell ref="A3:K3"/>
    <mergeCell ref="A2:K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5"/>
  <sheetViews>
    <sheetView showGridLines="0" workbookViewId="0">
      <selection activeCell="A2" sqref="A2:C2"/>
    </sheetView>
  </sheetViews>
  <sheetFormatPr defaultRowHeight="15" x14ac:dyDescent="0.25"/>
  <cols>
    <col min="1" max="1" width="24.42578125" style="22" bestFit="1" customWidth="1"/>
    <col min="2" max="2" width="22.140625" style="22" customWidth="1"/>
    <col min="3" max="3" width="16.7109375" style="22" customWidth="1"/>
    <col min="4" max="4" width="9.5703125" style="23" bestFit="1" customWidth="1"/>
    <col min="5" max="6" width="9.140625" style="22" customWidth="1"/>
    <col min="7" max="7" width="13.42578125" style="22" hidden="1" customWidth="1"/>
    <col min="8" max="9" width="9.140625" style="22" hidden="1" customWidth="1"/>
    <col min="10" max="10" width="10.5703125" style="22" customWidth="1"/>
    <col min="11" max="250" width="9.140625" style="22"/>
    <col min="251" max="251" width="14.85546875" style="22" bestFit="1" customWidth="1"/>
    <col min="252" max="252" width="21" style="22" bestFit="1" customWidth="1"/>
    <col min="253" max="506" width="9.140625" style="22"/>
    <col min="507" max="507" width="14.85546875" style="22" bestFit="1" customWidth="1"/>
    <col min="508" max="508" width="21" style="22" bestFit="1" customWidth="1"/>
    <col min="509" max="762" width="9.140625" style="22"/>
    <col min="763" max="763" width="14.85546875" style="22" bestFit="1" customWidth="1"/>
    <col min="764" max="764" width="21" style="22" bestFit="1" customWidth="1"/>
    <col min="765" max="1018" width="9.140625" style="22"/>
    <col min="1019" max="1019" width="14.85546875" style="22" bestFit="1" customWidth="1"/>
    <col min="1020" max="1020" width="21" style="22" bestFit="1" customWidth="1"/>
    <col min="1021" max="1274" width="9.140625" style="22"/>
    <col min="1275" max="1275" width="14.85546875" style="22" bestFit="1" customWidth="1"/>
    <col min="1276" max="1276" width="21" style="22" bestFit="1" customWidth="1"/>
    <col min="1277" max="1530" width="9.140625" style="22"/>
    <col min="1531" max="1531" width="14.85546875" style="22" bestFit="1" customWidth="1"/>
    <col min="1532" max="1532" width="21" style="22" bestFit="1" customWidth="1"/>
    <col min="1533" max="1786" width="9.140625" style="22"/>
    <col min="1787" max="1787" width="14.85546875" style="22" bestFit="1" customWidth="1"/>
    <col min="1788" max="1788" width="21" style="22" bestFit="1" customWidth="1"/>
    <col min="1789" max="2042" width="9.140625" style="22"/>
    <col min="2043" max="2043" width="14.85546875" style="22" bestFit="1" customWidth="1"/>
    <col min="2044" max="2044" width="21" style="22" bestFit="1" customWidth="1"/>
    <col min="2045" max="2298" width="9.140625" style="22"/>
    <col min="2299" max="2299" width="14.85546875" style="22" bestFit="1" customWidth="1"/>
    <col min="2300" max="2300" width="21" style="22" bestFit="1" customWidth="1"/>
    <col min="2301" max="2554" width="9.140625" style="22"/>
    <col min="2555" max="2555" width="14.85546875" style="22" bestFit="1" customWidth="1"/>
    <col min="2556" max="2556" width="21" style="22" bestFit="1" customWidth="1"/>
    <col min="2557" max="2810" width="9.140625" style="22"/>
    <col min="2811" max="2811" width="14.85546875" style="22" bestFit="1" customWidth="1"/>
    <col min="2812" max="2812" width="21" style="22" bestFit="1" customWidth="1"/>
    <col min="2813" max="3066" width="9.140625" style="22"/>
    <col min="3067" max="3067" width="14.85546875" style="22" bestFit="1" customWidth="1"/>
    <col min="3068" max="3068" width="21" style="22" bestFit="1" customWidth="1"/>
    <col min="3069" max="3322" width="9.140625" style="22"/>
    <col min="3323" max="3323" width="14.85546875" style="22" bestFit="1" customWidth="1"/>
    <col min="3324" max="3324" width="21" style="22" bestFit="1" customWidth="1"/>
    <col min="3325" max="3578" width="9.140625" style="22"/>
    <col min="3579" max="3579" width="14.85546875" style="22" bestFit="1" customWidth="1"/>
    <col min="3580" max="3580" width="21" style="22" bestFit="1" customWidth="1"/>
    <col min="3581" max="3834" width="9.140625" style="22"/>
    <col min="3835" max="3835" width="14.85546875" style="22" bestFit="1" customWidth="1"/>
    <col min="3836" max="3836" width="21" style="22" bestFit="1" customWidth="1"/>
    <col min="3837" max="4090" width="9.140625" style="22"/>
    <col min="4091" max="4091" width="14.85546875" style="22" bestFit="1" customWidth="1"/>
    <col min="4092" max="4092" width="21" style="22" bestFit="1" customWidth="1"/>
    <col min="4093" max="4346" width="9.140625" style="22"/>
    <col min="4347" max="4347" width="14.85546875" style="22" bestFit="1" customWidth="1"/>
    <col min="4348" max="4348" width="21" style="22" bestFit="1" customWidth="1"/>
    <col min="4349" max="4602" width="9.140625" style="22"/>
    <col min="4603" max="4603" width="14.85546875" style="22" bestFit="1" customWidth="1"/>
    <col min="4604" max="4604" width="21" style="22" bestFit="1" customWidth="1"/>
    <col min="4605" max="4858" width="9.140625" style="22"/>
    <col min="4859" max="4859" width="14.85546875" style="22" bestFit="1" customWidth="1"/>
    <col min="4860" max="4860" width="21" style="22" bestFit="1" customWidth="1"/>
    <col min="4861" max="5114" width="9.140625" style="22"/>
    <col min="5115" max="5115" width="14.85546875" style="22" bestFit="1" customWidth="1"/>
    <col min="5116" max="5116" width="21" style="22" bestFit="1" customWidth="1"/>
    <col min="5117" max="5370" width="9.140625" style="22"/>
    <col min="5371" max="5371" width="14.85546875" style="22" bestFit="1" customWidth="1"/>
    <col min="5372" max="5372" width="21" style="22" bestFit="1" customWidth="1"/>
    <col min="5373" max="5626" width="9.140625" style="22"/>
    <col min="5627" max="5627" width="14.85546875" style="22" bestFit="1" customWidth="1"/>
    <col min="5628" max="5628" width="21" style="22" bestFit="1" customWidth="1"/>
    <col min="5629" max="5882" width="9.140625" style="22"/>
    <col min="5883" max="5883" width="14.85546875" style="22" bestFit="1" customWidth="1"/>
    <col min="5884" max="5884" width="21" style="22" bestFit="1" customWidth="1"/>
    <col min="5885" max="6138" width="9.140625" style="22"/>
    <col min="6139" max="6139" width="14.85546875" style="22" bestFit="1" customWidth="1"/>
    <col min="6140" max="6140" width="21" style="22" bestFit="1" customWidth="1"/>
    <col min="6141" max="6394" width="9.140625" style="22"/>
    <col min="6395" max="6395" width="14.85546875" style="22" bestFit="1" customWidth="1"/>
    <col min="6396" max="6396" width="21" style="22" bestFit="1" customWidth="1"/>
    <col min="6397" max="6650" width="9.140625" style="22"/>
    <col min="6651" max="6651" width="14.85546875" style="22" bestFit="1" customWidth="1"/>
    <col min="6652" max="6652" width="21" style="22" bestFit="1" customWidth="1"/>
    <col min="6653" max="6906" width="9.140625" style="22"/>
    <col min="6907" max="6907" width="14.85546875" style="22" bestFit="1" customWidth="1"/>
    <col min="6908" max="6908" width="21" style="22" bestFit="1" customWidth="1"/>
    <col min="6909" max="7162" width="9.140625" style="22"/>
    <col min="7163" max="7163" width="14.85546875" style="22" bestFit="1" customWidth="1"/>
    <col min="7164" max="7164" width="21" style="22" bestFit="1" customWidth="1"/>
    <col min="7165" max="7418" width="9.140625" style="22"/>
    <col min="7419" max="7419" width="14.85546875" style="22" bestFit="1" customWidth="1"/>
    <col min="7420" max="7420" width="21" style="22" bestFit="1" customWidth="1"/>
    <col min="7421" max="7674" width="9.140625" style="22"/>
    <col min="7675" max="7675" width="14.85546875" style="22" bestFit="1" customWidth="1"/>
    <col min="7676" max="7676" width="21" style="22" bestFit="1" customWidth="1"/>
    <col min="7677" max="7930" width="9.140625" style="22"/>
    <col min="7931" max="7931" width="14.85546875" style="22" bestFit="1" customWidth="1"/>
    <col min="7932" max="7932" width="21" style="22" bestFit="1" customWidth="1"/>
    <col min="7933" max="8186" width="9.140625" style="22"/>
    <col min="8187" max="8187" width="14.85546875" style="22" bestFit="1" customWidth="1"/>
    <col min="8188" max="8188" width="21" style="22" bestFit="1" customWidth="1"/>
    <col min="8189" max="8442" width="9.140625" style="22"/>
    <col min="8443" max="8443" width="14.85546875" style="22" bestFit="1" customWidth="1"/>
    <col min="8444" max="8444" width="21" style="22" bestFit="1" customWidth="1"/>
    <col min="8445" max="8698" width="9.140625" style="22"/>
    <col min="8699" max="8699" width="14.85546875" style="22" bestFit="1" customWidth="1"/>
    <col min="8700" max="8700" width="21" style="22" bestFit="1" customWidth="1"/>
    <col min="8701" max="8954" width="9.140625" style="22"/>
    <col min="8955" max="8955" width="14.85546875" style="22" bestFit="1" customWidth="1"/>
    <col min="8956" max="8956" width="21" style="22" bestFit="1" customWidth="1"/>
    <col min="8957" max="9210" width="9.140625" style="22"/>
    <col min="9211" max="9211" width="14.85546875" style="22" bestFit="1" customWidth="1"/>
    <col min="9212" max="9212" width="21" style="22" bestFit="1" customWidth="1"/>
    <col min="9213" max="9466" width="9.140625" style="22"/>
    <col min="9467" max="9467" width="14.85546875" style="22" bestFit="1" customWidth="1"/>
    <col min="9468" max="9468" width="21" style="22" bestFit="1" customWidth="1"/>
    <col min="9469" max="9722" width="9.140625" style="22"/>
    <col min="9723" max="9723" width="14.85546875" style="22" bestFit="1" customWidth="1"/>
    <col min="9724" max="9724" width="21" style="22" bestFit="1" customWidth="1"/>
    <col min="9725" max="9978" width="9.140625" style="22"/>
    <col min="9979" max="9979" width="14.85546875" style="22" bestFit="1" customWidth="1"/>
    <col min="9980" max="9980" width="21" style="22" bestFit="1" customWidth="1"/>
    <col min="9981" max="10234" width="9.140625" style="22"/>
    <col min="10235" max="10235" width="14.85546875" style="22" bestFit="1" customWidth="1"/>
    <col min="10236" max="10236" width="21" style="22" bestFit="1" customWidth="1"/>
    <col min="10237" max="10490" width="9.140625" style="22"/>
    <col min="10491" max="10491" width="14.85546875" style="22" bestFit="1" customWidth="1"/>
    <col min="10492" max="10492" width="21" style="22" bestFit="1" customWidth="1"/>
    <col min="10493" max="10746" width="9.140625" style="22"/>
    <col min="10747" max="10747" width="14.85546875" style="22" bestFit="1" customWidth="1"/>
    <col min="10748" max="10748" width="21" style="22" bestFit="1" customWidth="1"/>
    <col min="10749" max="11002" width="9.140625" style="22"/>
    <col min="11003" max="11003" width="14.85546875" style="22" bestFit="1" customWidth="1"/>
    <col min="11004" max="11004" width="21" style="22" bestFit="1" customWidth="1"/>
    <col min="11005" max="11258" width="9.140625" style="22"/>
    <col min="11259" max="11259" width="14.85546875" style="22" bestFit="1" customWidth="1"/>
    <col min="11260" max="11260" width="21" style="22" bestFit="1" customWidth="1"/>
    <col min="11261" max="11514" width="9.140625" style="22"/>
    <col min="11515" max="11515" width="14.85546875" style="22" bestFit="1" customWidth="1"/>
    <col min="11516" max="11516" width="21" style="22" bestFit="1" customWidth="1"/>
    <col min="11517" max="11770" width="9.140625" style="22"/>
    <col min="11771" max="11771" width="14.85546875" style="22" bestFit="1" customWidth="1"/>
    <col min="11772" max="11772" width="21" style="22" bestFit="1" customWidth="1"/>
    <col min="11773" max="12026" width="9.140625" style="22"/>
    <col min="12027" max="12027" width="14.85546875" style="22" bestFit="1" customWidth="1"/>
    <col min="12028" max="12028" width="21" style="22" bestFit="1" customWidth="1"/>
    <col min="12029" max="12282" width="9.140625" style="22"/>
    <col min="12283" max="12283" width="14.85546875" style="22" bestFit="1" customWidth="1"/>
    <col min="12284" max="12284" width="21" style="22" bestFit="1" customWidth="1"/>
    <col min="12285" max="12538" width="9.140625" style="22"/>
    <col min="12539" max="12539" width="14.85546875" style="22" bestFit="1" customWidth="1"/>
    <col min="12540" max="12540" width="21" style="22" bestFit="1" customWidth="1"/>
    <col min="12541" max="12794" width="9.140625" style="22"/>
    <col min="12795" max="12795" width="14.85546875" style="22" bestFit="1" customWidth="1"/>
    <col min="12796" max="12796" width="21" style="22" bestFit="1" customWidth="1"/>
    <col min="12797" max="13050" width="9.140625" style="22"/>
    <col min="13051" max="13051" width="14.85546875" style="22" bestFit="1" customWidth="1"/>
    <col min="13052" max="13052" width="21" style="22" bestFit="1" customWidth="1"/>
    <col min="13053" max="13306" width="9.140625" style="22"/>
    <col min="13307" max="13307" width="14.85546875" style="22" bestFit="1" customWidth="1"/>
    <col min="13308" max="13308" width="21" style="22" bestFit="1" customWidth="1"/>
    <col min="13309" max="13562" width="9.140625" style="22"/>
    <col min="13563" max="13563" width="14.85546875" style="22" bestFit="1" customWidth="1"/>
    <col min="13564" max="13564" width="21" style="22" bestFit="1" customWidth="1"/>
    <col min="13565" max="13818" width="9.140625" style="22"/>
    <col min="13819" max="13819" width="14.85546875" style="22" bestFit="1" customWidth="1"/>
    <col min="13820" max="13820" width="21" style="22" bestFit="1" customWidth="1"/>
    <col min="13821" max="14074" width="9.140625" style="22"/>
    <col min="14075" max="14075" width="14.85546875" style="22" bestFit="1" customWidth="1"/>
    <col min="14076" max="14076" width="21" style="22" bestFit="1" customWidth="1"/>
    <col min="14077" max="14330" width="9.140625" style="22"/>
    <col min="14331" max="14331" width="14.85546875" style="22" bestFit="1" customWidth="1"/>
    <col min="14332" max="14332" width="21" style="22" bestFit="1" customWidth="1"/>
    <col min="14333" max="14586" width="9.140625" style="22"/>
    <col min="14587" max="14587" width="14.85546875" style="22" bestFit="1" customWidth="1"/>
    <col min="14588" max="14588" width="21" style="22" bestFit="1" customWidth="1"/>
    <col min="14589" max="14842" width="9.140625" style="22"/>
    <col min="14843" max="14843" width="14.85546875" style="22" bestFit="1" customWidth="1"/>
    <col min="14844" max="14844" width="21" style="22" bestFit="1" customWidth="1"/>
    <col min="14845" max="15098" width="9.140625" style="22"/>
    <col min="15099" max="15099" width="14.85546875" style="22" bestFit="1" customWidth="1"/>
    <col min="15100" max="15100" width="21" style="22" bestFit="1" customWidth="1"/>
    <col min="15101" max="15354" width="9.140625" style="22"/>
    <col min="15355" max="15355" width="14.85546875" style="22" bestFit="1" customWidth="1"/>
    <col min="15356" max="15356" width="21" style="22" bestFit="1" customWidth="1"/>
    <col min="15357" max="15610" width="9.140625" style="22"/>
    <col min="15611" max="15611" width="14.85546875" style="22" bestFit="1" customWidth="1"/>
    <col min="15612" max="15612" width="21" style="22" bestFit="1" customWidth="1"/>
    <col min="15613" max="15866" width="9.140625" style="22"/>
    <col min="15867" max="15867" width="14.85546875" style="22" bestFit="1" customWidth="1"/>
    <col min="15868" max="15868" width="21" style="22" bestFit="1" customWidth="1"/>
    <col min="15869" max="16122" width="9.140625" style="22"/>
    <col min="16123" max="16123" width="14.85546875" style="22" bestFit="1" customWidth="1"/>
    <col min="16124" max="16124" width="21" style="22" bestFit="1" customWidth="1"/>
    <col min="16125" max="16384" width="9.140625" style="22"/>
  </cols>
  <sheetData>
    <row r="1" spans="1:10" ht="15.75" x14ac:dyDescent="0.25">
      <c r="A1" s="61" t="s">
        <v>122</v>
      </c>
      <c r="B1" s="61"/>
      <c r="C1" s="61"/>
      <c r="D1" s="21"/>
      <c r="E1" s="21"/>
    </row>
    <row r="2" spans="1:10" ht="15.75" x14ac:dyDescent="0.25">
      <c r="A2" s="81" t="s">
        <v>46</v>
      </c>
      <c r="B2" s="81"/>
      <c r="C2" s="81"/>
    </row>
    <row r="4" spans="1:10" ht="35.450000000000003" customHeight="1" thickBot="1" x14ac:dyDescent="0.3">
      <c r="A4" s="42" t="s">
        <v>47</v>
      </c>
      <c r="B4" s="42" t="s">
        <v>48</v>
      </c>
      <c r="C4" s="51" t="s">
        <v>146</v>
      </c>
      <c r="G4" s="24" t="s">
        <v>49</v>
      </c>
    </row>
    <row r="5" spans="1:10" ht="15.95" customHeight="1" x14ac:dyDescent="0.25">
      <c r="A5" s="43" t="s">
        <v>50</v>
      </c>
      <c r="B5" s="43" t="s">
        <v>51</v>
      </c>
      <c r="C5" s="45">
        <f>I5</f>
        <v>4499.5727999999999</v>
      </c>
      <c r="E5" s="25"/>
      <c r="G5" s="26">
        <v>4244.88</v>
      </c>
      <c r="I5" s="25">
        <f>G5*6%+G5</f>
        <v>4499.5727999999999</v>
      </c>
      <c r="J5" s="27"/>
    </row>
    <row r="6" spans="1:10" ht="15.95" customHeight="1" x14ac:dyDescent="0.25">
      <c r="A6" s="79" t="s">
        <v>52</v>
      </c>
      <c r="B6" s="43" t="s">
        <v>53</v>
      </c>
      <c r="C6" s="45">
        <f t="shared" ref="C6:C38" si="0">I6</f>
        <v>3284.1980000000003</v>
      </c>
      <c r="E6" s="25"/>
      <c r="G6" s="28">
        <v>3098.3</v>
      </c>
      <c r="I6" s="25">
        <f t="shared" ref="I6:I38" si="1">G6*6%+G6</f>
        <v>3284.1980000000003</v>
      </c>
      <c r="J6" s="27"/>
    </row>
    <row r="7" spans="1:10" ht="15.95" customHeight="1" x14ac:dyDescent="0.25">
      <c r="A7" s="79"/>
      <c r="B7" s="43" t="s">
        <v>54</v>
      </c>
      <c r="C7" s="45">
        <f t="shared" si="0"/>
        <v>5478.9597999999996</v>
      </c>
      <c r="E7" s="25"/>
      <c r="G7" s="28">
        <v>5168.83</v>
      </c>
      <c r="I7" s="25">
        <f t="shared" si="1"/>
        <v>5478.9597999999996</v>
      </c>
      <c r="J7" s="27"/>
    </row>
    <row r="8" spans="1:10" ht="15.95" customHeight="1" x14ac:dyDescent="0.25">
      <c r="A8" s="43" t="s">
        <v>55</v>
      </c>
      <c r="B8" s="43" t="s">
        <v>53</v>
      </c>
      <c r="C8" s="45">
        <f t="shared" si="0"/>
        <v>3284.1980000000003</v>
      </c>
      <c r="E8" s="25"/>
      <c r="G8" s="28">
        <v>3098.3</v>
      </c>
      <c r="I8" s="25">
        <f t="shared" si="1"/>
        <v>3284.1980000000003</v>
      </c>
      <c r="J8" s="27"/>
    </row>
    <row r="9" spans="1:10" ht="15.95" customHeight="1" x14ac:dyDescent="0.25">
      <c r="A9" s="43" t="s">
        <v>56</v>
      </c>
      <c r="B9" s="43" t="s">
        <v>57</v>
      </c>
      <c r="C9" s="45">
        <f t="shared" si="0"/>
        <v>846.90820000000008</v>
      </c>
      <c r="E9" s="25"/>
      <c r="G9" s="28">
        <v>798.97</v>
      </c>
      <c r="I9" s="25">
        <f t="shared" si="1"/>
        <v>846.90820000000008</v>
      </c>
      <c r="J9" s="27"/>
    </row>
    <row r="10" spans="1:10" ht="15.95" customHeight="1" x14ac:dyDescent="0.25">
      <c r="A10" s="79" t="s">
        <v>58</v>
      </c>
      <c r="B10" s="43" t="s">
        <v>59</v>
      </c>
      <c r="C10" s="45">
        <f t="shared" si="0"/>
        <v>1447.3558</v>
      </c>
      <c r="E10" s="25"/>
      <c r="G10" s="28">
        <v>1365.43</v>
      </c>
      <c r="I10" s="25">
        <f t="shared" si="1"/>
        <v>1447.3558</v>
      </c>
      <c r="J10" s="27"/>
    </row>
    <row r="11" spans="1:10" ht="15.95" customHeight="1" x14ac:dyDescent="0.25">
      <c r="A11" s="79"/>
      <c r="B11" s="43" t="s">
        <v>60</v>
      </c>
      <c r="C11" s="45">
        <f t="shared" si="0"/>
        <v>2425.0998</v>
      </c>
      <c r="E11" s="25"/>
      <c r="G11" s="28">
        <v>2287.83</v>
      </c>
      <c r="I11" s="25">
        <f t="shared" si="1"/>
        <v>2425.0998</v>
      </c>
      <c r="J11" s="27"/>
    </row>
    <row r="12" spans="1:10" ht="15.95" customHeight="1" x14ac:dyDescent="0.25">
      <c r="A12" s="43" t="s">
        <v>61</v>
      </c>
      <c r="B12" s="43" t="s">
        <v>62</v>
      </c>
      <c r="C12" s="45">
        <f t="shared" si="0"/>
        <v>1057.615</v>
      </c>
      <c r="E12" s="25"/>
      <c r="G12" s="28">
        <v>997.75</v>
      </c>
      <c r="I12" s="25">
        <f t="shared" si="1"/>
        <v>1057.615</v>
      </c>
      <c r="J12" s="27"/>
    </row>
    <row r="13" spans="1:10" ht="15.95" customHeight="1" x14ac:dyDescent="0.25">
      <c r="A13" s="43" t="s">
        <v>63</v>
      </c>
      <c r="B13" s="43" t="s">
        <v>64</v>
      </c>
      <c r="C13" s="45">
        <f t="shared" si="0"/>
        <v>919.51819999999998</v>
      </c>
      <c r="E13" s="25"/>
      <c r="G13" s="28">
        <v>867.47</v>
      </c>
      <c r="I13" s="25">
        <f t="shared" si="1"/>
        <v>919.51819999999998</v>
      </c>
      <c r="J13" s="27"/>
    </row>
    <row r="14" spans="1:10" ht="15.95" customHeight="1" x14ac:dyDescent="0.25">
      <c r="A14" s="43" t="s">
        <v>65</v>
      </c>
      <c r="B14" s="43" t="s">
        <v>66</v>
      </c>
      <c r="C14" s="45">
        <f t="shared" si="0"/>
        <v>644.93579999999997</v>
      </c>
      <c r="E14" s="25"/>
      <c r="G14" s="28">
        <v>608.42999999999995</v>
      </c>
      <c r="I14" s="25">
        <f t="shared" si="1"/>
        <v>644.93579999999997</v>
      </c>
      <c r="J14" s="27"/>
    </row>
    <row r="15" spans="1:10" ht="15.95" customHeight="1" x14ac:dyDescent="0.25">
      <c r="A15" s="43" t="s">
        <v>67</v>
      </c>
      <c r="B15" s="43" t="s">
        <v>68</v>
      </c>
      <c r="C15" s="45">
        <f t="shared" si="0"/>
        <v>644.93579999999997</v>
      </c>
      <c r="E15" s="25"/>
      <c r="G15" s="28">
        <v>608.42999999999995</v>
      </c>
      <c r="I15" s="25">
        <f t="shared" si="1"/>
        <v>644.93579999999997</v>
      </c>
      <c r="J15" s="27"/>
    </row>
    <row r="16" spans="1:10" ht="15.95" customHeight="1" x14ac:dyDescent="0.25">
      <c r="A16" s="43" t="s">
        <v>69</v>
      </c>
      <c r="B16" s="43" t="s">
        <v>62</v>
      </c>
      <c r="C16" s="45">
        <f t="shared" si="0"/>
        <v>1057.615</v>
      </c>
      <c r="E16" s="25"/>
      <c r="G16" s="28">
        <v>997.75</v>
      </c>
      <c r="I16" s="25">
        <f t="shared" si="1"/>
        <v>1057.615</v>
      </c>
      <c r="J16" s="27"/>
    </row>
    <row r="17" spans="1:10" ht="15.95" customHeight="1" x14ac:dyDescent="0.25">
      <c r="A17" s="43" t="s">
        <v>70</v>
      </c>
      <c r="B17" s="43" t="s">
        <v>62</v>
      </c>
      <c r="C17" s="45">
        <f t="shared" si="0"/>
        <v>1057.615</v>
      </c>
      <c r="E17" s="25"/>
      <c r="G17" s="28">
        <v>997.75</v>
      </c>
      <c r="I17" s="25">
        <f t="shared" si="1"/>
        <v>1057.615</v>
      </c>
      <c r="J17" s="27"/>
    </row>
    <row r="18" spans="1:10" ht="15.95" customHeight="1" x14ac:dyDescent="0.25">
      <c r="A18" s="43" t="s">
        <v>71</v>
      </c>
      <c r="B18" s="43" t="s">
        <v>72</v>
      </c>
      <c r="C18" s="45">
        <f t="shared" si="0"/>
        <v>1325.3815999999999</v>
      </c>
      <c r="E18" s="25"/>
      <c r="G18" s="28">
        <v>1250.3599999999999</v>
      </c>
      <c r="I18" s="25">
        <f t="shared" si="1"/>
        <v>1325.3815999999999</v>
      </c>
      <c r="J18" s="27"/>
    </row>
    <row r="19" spans="1:10" ht="15.95" customHeight="1" x14ac:dyDescent="0.25">
      <c r="A19" s="79" t="s">
        <v>73</v>
      </c>
      <c r="B19" s="43" t="s">
        <v>74</v>
      </c>
      <c r="C19" s="45">
        <f t="shared" si="0"/>
        <v>1344.8538000000001</v>
      </c>
      <c r="E19" s="25"/>
      <c r="G19" s="28">
        <v>1268.73</v>
      </c>
      <c r="I19" s="25">
        <f t="shared" si="1"/>
        <v>1344.8538000000001</v>
      </c>
      <c r="J19" s="27"/>
    </row>
    <row r="20" spans="1:10" ht="15.95" customHeight="1" x14ac:dyDescent="0.25">
      <c r="A20" s="79"/>
      <c r="B20" s="43" t="s">
        <v>75</v>
      </c>
      <c r="C20" s="45">
        <f t="shared" si="0"/>
        <v>1799.8164000000002</v>
      </c>
      <c r="E20" s="25"/>
      <c r="G20" s="28">
        <v>1697.94</v>
      </c>
      <c r="I20" s="25">
        <f t="shared" si="1"/>
        <v>1799.8164000000002</v>
      </c>
      <c r="J20" s="27"/>
    </row>
    <row r="21" spans="1:10" ht="15.95" customHeight="1" x14ac:dyDescent="0.25">
      <c r="A21" s="79" t="s">
        <v>76</v>
      </c>
      <c r="B21" s="43" t="s">
        <v>77</v>
      </c>
      <c r="C21" s="45">
        <f t="shared" si="0"/>
        <v>697.41640000000007</v>
      </c>
      <c r="E21" s="25"/>
      <c r="G21" s="28">
        <v>657.94</v>
      </c>
      <c r="I21" s="25">
        <f t="shared" si="1"/>
        <v>697.41640000000007</v>
      </c>
      <c r="J21" s="27"/>
    </row>
    <row r="22" spans="1:10" ht="15.95" customHeight="1" x14ac:dyDescent="0.25">
      <c r="A22" s="79"/>
      <c r="B22" s="43" t="s">
        <v>78</v>
      </c>
      <c r="C22" s="45">
        <f t="shared" si="0"/>
        <v>697.41640000000007</v>
      </c>
      <c r="E22" s="25"/>
      <c r="G22" s="28">
        <v>657.94</v>
      </c>
      <c r="I22" s="25">
        <f t="shared" si="1"/>
        <v>697.41640000000007</v>
      </c>
      <c r="J22" s="27"/>
    </row>
    <row r="23" spans="1:10" ht="15.95" customHeight="1" x14ac:dyDescent="0.25">
      <c r="A23" s="43" t="s">
        <v>79</v>
      </c>
      <c r="B23" s="43" t="s">
        <v>62</v>
      </c>
      <c r="C23" s="45">
        <f t="shared" si="0"/>
        <v>1057.615</v>
      </c>
      <c r="E23" s="25"/>
      <c r="G23" s="28">
        <v>997.75</v>
      </c>
      <c r="I23" s="25">
        <f t="shared" si="1"/>
        <v>1057.615</v>
      </c>
      <c r="J23" s="27"/>
    </row>
    <row r="24" spans="1:10" ht="15.95" customHeight="1" x14ac:dyDescent="0.25">
      <c r="A24" s="43" t="s">
        <v>80</v>
      </c>
      <c r="B24" s="43" t="s">
        <v>81</v>
      </c>
      <c r="C24" s="45">
        <f t="shared" si="0"/>
        <v>4499.5727999999999</v>
      </c>
      <c r="E24" s="25"/>
      <c r="G24" s="28">
        <v>4244.88</v>
      </c>
      <c r="I24" s="25">
        <f t="shared" si="1"/>
        <v>4499.5727999999999</v>
      </c>
      <c r="J24" s="27"/>
    </row>
    <row r="25" spans="1:10" ht="15.95" customHeight="1" x14ac:dyDescent="0.25">
      <c r="A25" s="43" t="s">
        <v>82</v>
      </c>
      <c r="B25" s="43" t="s">
        <v>83</v>
      </c>
      <c r="C25" s="45">
        <f t="shared" si="0"/>
        <v>628.32560000000001</v>
      </c>
      <c r="E25" s="25"/>
      <c r="G25" s="28">
        <v>592.76</v>
      </c>
      <c r="I25" s="25">
        <f t="shared" si="1"/>
        <v>628.32560000000001</v>
      </c>
      <c r="J25" s="27"/>
    </row>
    <row r="26" spans="1:10" ht="15.95" customHeight="1" x14ac:dyDescent="0.25">
      <c r="A26" s="43" t="s">
        <v>84</v>
      </c>
      <c r="B26" s="43" t="s">
        <v>85</v>
      </c>
      <c r="C26" s="45">
        <f t="shared" si="0"/>
        <v>743.27200000000005</v>
      </c>
      <c r="E26" s="25"/>
      <c r="G26" s="28">
        <v>701.2</v>
      </c>
      <c r="I26" s="25">
        <f t="shared" si="1"/>
        <v>743.27200000000005</v>
      </c>
      <c r="J26" s="27"/>
    </row>
    <row r="27" spans="1:10" ht="15.95" customHeight="1" x14ac:dyDescent="0.25">
      <c r="A27" s="43" t="s">
        <v>86</v>
      </c>
      <c r="B27" s="43" t="s">
        <v>87</v>
      </c>
      <c r="C27" s="45">
        <f t="shared" si="0"/>
        <v>802.64260000000002</v>
      </c>
      <c r="E27" s="25"/>
      <c r="G27" s="28">
        <v>757.21</v>
      </c>
      <c r="I27" s="25">
        <f t="shared" si="1"/>
        <v>802.64260000000002</v>
      </c>
      <c r="J27" s="27"/>
    </row>
    <row r="28" spans="1:10" ht="15.95" customHeight="1" x14ac:dyDescent="0.25">
      <c r="A28" s="43" t="s">
        <v>88</v>
      </c>
      <c r="B28" s="43" t="s">
        <v>89</v>
      </c>
      <c r="C28" s="45">
        <f t="shared" si="0"/>
        <v>1034.4115999999999</v>
      </c>
      <c r="E28" s="25"/>
      <c r="G28" s="28">
        <v>975.86</v>
      </c>
      <c r="I28" s="25">
        <f t="shared" si="1"/>
        <v>1034.4115999999999</v>
      </c>
      <c r="J28" s="27"/>
    </row>
    <row r="29" spans="1:10" ht="15.95" customHeight="1" x14ac:dyDescent="0.25">
      <c r="A29" s="43" t="s">
        <v>90</v>
      </c>
      <c r="B29" s="43" t="s">
        <v>91</v>
      </c>
      <c r="C29" s="45">
        <f t="shared" si="0"/>
        <v>743.57939999999996</v>
      </c>
      <c r="E29" s="25"/>
      <c r="G29" s="28">
        <v>701.49</v>
      </c>
      <c r="I29" s="25">
        <f t="shared" si="1"/>
        <v>743.57939999999996</v>
      </c>
      <c r="J29" s="27"/>
    </row>
    <row r="30" spans="1:10" ht="15.95" customHeight="1" x14ac:dyDescent="0.25">
      <c r="A30" s="43" t="s">
        <v>92</v>
      </c>
      <c r="B30" s="43" t="s">
        <v>93</v>
      </c>
      <c r="C30" s="45">
        <f t="shared" si="0"/>
        <v>919.51819999999998</v>
      </c>
      <c r="E30" s="25"/>
      <c r="G30" s="28">
        <v>867.47</v>
      </c>
      <c r="I30" s="25">
        <f t="shared" si="1"/>
        <v>919.51819999999998</v>
      </c>
      <c r="J30" s="27"/>
    </row>
    <row r="31" spans="1:10" ht="15.95" customHeight="1" x14ac:dyDescent="0.25">
      <c r="A31" s="43" t="s">
        <v>94</v>
      </c>
      <c r="B31" s="43" t="s">
        <v>95</v>
      </c>
      <c r="C31" s="45">
        <f t="shared" si="0"/>
        <v>1236.5006000000001</v>
      </c>
      <c r="E31" s="25"/>
      <c r="G31" s="28">
        <v>1166.51</v>
      </c>
      <c r="I31" s="25">
        <f t="shared" si="1"/>
        <v>1236.5006000000001</v>
      </c>
      <c r="J31" s="27"/>
    </row>
    <row r="32" spans="1:10" ht="15.95" customHeight="1" x14ac:dyDescent="0.25">
      <c r="A32" s="43" t="s">
        <v>96</v>
      </c>
      <c r="B32" s="43" t="s">
        <v>97</v>
      </c>
      <c r="C32" s="45">
        <f t="shared" si="0"/>
        <v>1325.3815999999999</v>
      </c>
      <c r="E32" s="25"/>
      <c r="G32" s="28">
        <v>1250.3599999999999</v>
      </c>
      <c r="I32" s="25">
        <f t="shared" si="1"/>
        <v>1325.3815999999999</v>
      </c>
      <c r="J32" s="27"/>
    </row>
    <row r="33" spans="1:10" ht="15.95" customHeight="1" x14ac:dyDescent="0.25">
      <c r="A33" s="79" t="s">
        <v>98</v>
      </c>
      <c r="B33" s="43" t="s">
        <v>99</v>
      </c>
      <c r="C33" s="45">
        <f t="shared" si="0"/>
        <v>646.98160000000007</v>
      </c>
      <c r="E33" s="25"/>
      <c r="G33" s="28">
        <v>610.36</v>
      </c>
      <c r="I33" s="25">
        <f t="shared" si="1"/>
        <v>646.98160000000007</v>
      </c>
      <c r="J33" s="27"/>
    </row>
    <row r="34" spans="1:10" ht="15.95" customHeight="1" x14ac:dyDescent="0.25">
      <c r="A34" s="79"/>
      <c r="B34" s="43" t="s">
        <v>100</v>
      </c>
      <c r="C34" s="45">
        <f t="shared" si="0"/>
        <v>1523.1564000000001</v>
      </c>
      <c r="E34" s="25"/>
      <c r="G34" s="28">
        <v>1436.94</v>
      </c>
      <c r="I34" s="25">
        <f t="shared" si="1"/>
        <v>1523.1564000000001</v>
      </c>
      <c r="J34" s="27"/>
    </row>
    <row r="35" spans="1:10" ht="15.95" customHeight="1" x14ac:dyDescent="0.25">
      <c r="A35" s="79" t="s">
        <v>101</v>
      </c>
      <c r="B35" s="43" t="s">
        <v>102</v>
      </c>
      <c r="C35" s="45">
        <f t="shared" si="0"/>
        <v>167.9676</v>
      </c>
      <c r="E35" s="25"/>
      <c r="G35" s="28">
        <v>158.46</v>
      </c>
      <c r="I35" s="25">
        <f t="shared" si="1"/>
        <v>167.9676</v>
      </c>
      <c r="J35" s="27"/>
    </row>
    <row r="36" spans="1:10" ht="15.95" customHeight="1" x14ac:dyDescent="0.25">
      <c r="A36" s="79"/>
      <c r="B36" s="43" t="s">
        <v>68</v>
      </c>
      <c r="C36" s="45">
        <f t="shared" si="0"/>
        <v>644.93579999999997</v>
      </c>
      <c r="E36" s="25"/>
      <c r="G36" s="28">
        <v>608.42999999999995</v>
      </c>
      <c r="I36" s="25">
        <f t="shared" si="1"/>
        <v>644.93579999999997</v>
      </c>
      <c r="J36" s="27"/>
    </row>
    <row r="37" spans="1:10" s="30" customFormat="1" ht="15.95" customHeight="1" x14ac:dyDescent="0.25">
      <c r="A37" s="80" t="s">
        <v>103</v>
      </c>
      <c r="B37" s="44" t="s">
        <v>104</v>
      </c>
      <c r="C37" s="45">
        <f t="shared" si="0"/>
        <v>644.93579999999997</v>
      </c>
      <c r="D37" s="23"/>
      <c r="E37" s="29"/>
      <c r="G37" s="31">
        <v>608.42999999999995</v>
      </c>
      <c r="I37" s="25">
        <f t="shared" si="1"/>
        <v>644.93579999999997</v>
      </c>
      <c r="J37" s="27"/>
    </row>
    <row r="38" spans="1:10" ht="15.95" customHeight="1" thickBot="1" x14ac:dyDescent="0.3">
      <c r="A38" s="80"/>
      <c r="B38" s="43" t="s">
        <v>105</v>
      </c>
      <c r="C38" s="45">
        <f t="shared" si="0"/>
        <v>697.41640000000007</v>
      </c>
      <c r="E38" s="25"/>
      <c r="G38" s="32">
        <v>657.94</v>
      </c>
      <c r="I38" s="25">
        <f t="shared" si="1"/>
        <v>697.41640000000007</v>
      </c>
      <c r="J38" s="27"/>
    </row>
    <row r="39" spans="1:10" x14ac:dyDescent="0.25">
      <c r="A39" s="33"/>
      <c r="B39" s="34"/>
    </row>
    <row r="40" spans="1:10" hidden="1" x14ac:dyDescent="0.25">
      <c r="A40" s="33"/>
      <c r="B40" s="34"/>
    </row>
    <row r="41" spans="1:10" ht="30" hidden="1" x14ac:dyDescent="0.25">
      <c r="A41" s="35" t="s">
        <v>47</v>
      </c>
      <c r="B41" s="35" t="s">
        <v>48</v>
      </c>
      <c r="C41" s="35" t="s">
        <v>49</v>
      </c>
    </row>
    <row r="42" spans="1:10" hidden="1" x14ac:dyDescent="0.25">
      <c r="A42" s="36" t="s">
        <v>50</v>
      </c>
      <c r="B42" s="37" t="s">
        <v>51</v>
      </c>
      <c r="C42" s="38">
        <v>3503.31</v>
      </c>
    </row>
    <row r="43" spans="1:10" hidden="1" x14ac:dyDescent="0.25">
      <c r="A43" s="36" t="s">
        <v>52</v>
      </c>
      <c r="B43" s="37" t="s">
        <v>53</v>
      </c>
      <c r="C43" s="38">
        <v>2557.0300000000002</v>
      </c>
    </row>
    <row r="44" spans="1:10" hidden="1" x14ac:dyDescent="0.25">
      <c r="A44" s="36"/>
      <c r="B44" s="37" t="s">
        <v>54</v>
      </c>
      <c r="C44" s="38">
        <v>4265.8500000000004</v>
      </c>
    </row>
    <row r="45" spans="1:10" hidden="1" x14ac:dyDescent="0.25">
      <c r="A45" s="36" t="s">
        <v>55</v>
      </c>
      <c r="B45" s="37" t="s">
        <v>53</v>
      </c>
      <c r="C45" s="38">
        <v>2557.0300000000002</v>
      </c>
    </row>
    <row r="46" spans="1:10" hidden="1" x14ac:dyDescent="0.25">
      <c r="A46" s="36" t="s">
        <v>56</v>
      </c>
      <c r="B46" s="37" t="s">
        <v>57</v>
      </c>
      <c r="C46" s="38">
        <v>659.39</v>
      </c>
    </row>
    <row r="47" spans="1:10" hidden="1" x14ac:dyDescent="0.25">
      <c r="A47" s="36" t="s">
        <v>58</v>
      </c>
      <c r="B47" s="37" t="s">
        <v>59</v>
      </c>
      <c r="C47" s="38">
        <v>1126.8900000000001</v>
      </c>
    </row>
    <row r="48" spans="1:10" hidden="1" x14ac:dyDescent="0.25">
      <c r="A48" s="36"/>
      <c r="B48" s="37" t="s">
        <v>60</v>
      </c>
      <c r="C48" s="38">
        <v>1888.15</v>
      </c>
    </row>
    <row r="49" spans="1:3" s="22" customFormat="1" hidden="1" x14ac:dyDescent="0.25">
      <c r="A49" s="36" t="s">
        <v>61</v>
      </c>
      <c r="B49" s="37" t="s">
        <v>62</v>
      </c>
      <c r="C49" s="38">
        <v>823.45</v>
      </c>
    </row>
    <row r="50" spans="1:3" s="22" customFormat="1" hidden="1" x14ac:dyDescent="0.25">
      <c r="A50" s="36" t="s">
        <v>63</v>
      </c>
      <c r="B50" s="37" t="s">
        <v>64</v>
      </c>
      <c r="C50" s="38">
        <v>715.93</v>
      </c>
    </row>
    <row r="51" spans="1:3" s="22" customFormat="1" hidden="1" x14ac:dyDescent="0.25">
      <c r="A51" s="36" t="s">
        <v>65</v>
      </c>
      <c r="B51" s="37" t="s">
        <v>66</v>
      </c>
      <c r="C51" s="38">
        <v>502.14</v>
      </c>
    </row>
    <row r="52" spans="1:3" s="22" customFormat="1" hidden="1" x14ac:dyDescent="0.25">
      <c r="A52" s="36" t="s">
        <v>67</v>
      </c>
      <c r="B52" s="37" t="s">
        <v>68</v>
      </c>
      <c r="C52" s="38">
        <v>502.14</v>
      </c>
    </row>
    <row r="53" spans="1:3" s="22" customFormat="1" hidden="1" x14ac:dyDescent="0.25">
      <c r="A53" s="36" t="s">
        <v>69</v>
      </c>
      <c r="B53" s="37" t="s">
        <v>62</v>
      </c>
      <c r="C53" s="38">
        <v>823.45</v>
      </c>
    </row>
    <row r="54" spans="1:3" s="22" customFormat="1" hidden="1" x14ac:dyDescent="0.25">
      <c r="A54" s="36" t="s">
        <v>70</v>
      </c>
      <c r="B54" s="37" t="s">
        <v>62</v>
      </c>
      <c r="C54" s="38">
        <v>823.45</v>
      </c>
    </row>
    <row r="55" spans="1:3" s="22" customFormat="1" hidden="1" x14ac:dyDescent="0.25">
      <c r="A55" s="36" t="s">
        <v>71</v>
      </c>
      <c r="B55" s="37" t="s">
        <v>72</v>
      </c>
      <c r="C55" s="38">
        <v>1031.92</v>
      </c>
    </row>
    <row r="56" spans="1:3" s="22" customFormat="1" hidden="1" x14ac:dyDescent="0.25">
      <c r="A56" s="36" t="s">
        <v>73</v>
      </c>
      <c r="B56" s="37" t="s">
        <v>74</v>
      </c>
      <c r="C56" s="38">
        <v>1047.0899999999999</v>
      </c>
    </row>
    <row r="57" spans="1:3" s="22" customFormat="1" hidden="1" x14ac:dyDescent="0.25">
      <c r="A57" s="36"/>
      <c r="B57" s="37" t="s">
        <v>75</v>
      </c>
      <c r="C57" s="38">
        <v>1401.32</v>
      </c>
    </row>
    <row r="58" spans="1:3" s="22" customFormat="1" hidden="1" x14ac:dyDescent="0.25">
      <c r="A58" s="36" t="s">
        <v>76</v>
      </c>
      <c r="B58" s="37" t="s">
        <v>77</v>
      </c>
      <c r="C58" s="38">
        <v>543</v>
      </c>
    </row>
    <row r="59" spans="1:3" s="22" customFormat="1" hidden="1" x14ac:dyDescent="0.25">
      <c r="A59" s="36"/>
      <c r="B59" s="37" t="s">
        <v>78</v>
      </c>
      <c r="C59" s="38">
        <v>543</v>
      </c>
    </row>
    <row r="60" spans="1:3" s="22" customFormat="1" hidden="1" x14ac:dyDescent="0.25">
      <c r="A60" s="36" t="s">
        <v>79</v>
      </c>
      <c r="B60" s="37" t="s">
        <v>62</v>
      </c>
      <c r="C60" s="38">
        <v>823.45</v>
      </c>
    </row>
    <row r="61" spans="1:3" s="22" customFormat="1" hidden="1" x14ac:dyDescent="0.25">
      <c r="A61" s="36" t="s">
        <v>80</v>
      </c>
      <c r="B61" s="37" t="s">
        <v>81</v>
      </c>
      <c r="C61" s="38">
        <v>3503.31</v>
      </c>
    </row>
    <row r="62" spans="1:3" s="22" customFormat="1" hidden="1" x14ac:dyDescent="0.25">
      <c r="A62" s="36" t="s">
        <v>82</v>
      </c>
      <c r="B62" s="37" t="s">
        <v>83</v>
      </c>
      <c r="C62" s="38">
        <v>489.22</v>
      </c>
    </row>
    <row r="63" spans="1:3" s="22" customFormat="1" hidden="1" x14ac:dyDescent="0.25">
      <c r="A63" s="36" t="s">
        <v>84</v>
      </c>
      <c r="B63" s="37" t="s">
        <v>85</v>
      </c>
      <c r="C63" s="38">
        <v>578.71</v>
      </c>
    </row>
    <row r="64" spans="1:3" s="22" customFormat="1" hidden="1" x14ac:dyDescent="0.25">
      <c r="A64" s="36" t="s">
        <v>86</v>
      </c>
      <c r="B64" s="37" t="s">
        <v>87</v>
      </c>
      <c r="C64" s="38">
        <v>624.92999999999995</v>
      </c>
    </row>
    <row r="65" spans="1:3" s="22" customFormat="1" hidden="1" x14ac:dyDescent="0.25">
      <c r="A65" s="36" t="s">
        <v>88</v>
      </c>
      <c r="B65" s="37" t="s">
        <v>89</v>
      </c>
      <c r="C65" s="38">
        <v>805.38</v>
      </c>
    </row>
    <row r="66" spans="1:3" s="22" customFormat="1" hidden="1" x14ac:dyDescent="0.25">
      <c r="A66" s="38" t="s">
        <v>90</v>
      </c>
      <c r="B66" s="38" t="s">
        <v>91</v>
      </c>
      <c r="C66" s="38">
        <v>578.95000000000005</v>
      </c>
    </row>
    <row r="67" spans="1:3" s="22" customFormat="1" hidden="1" x14ac:dyDescent="0.25">
      <c r="A67" s="38" t="s">
        <v>92</v>
      </c>
      <c r="B67" s="38" t="s">
        <v>93</v>
      </c>
      <c r="C67" s="38">
        <v>715.93</v>
      </c>
    </row>
    <row r="68" spans="1:3" s="22" customFormat="1" hidden="1" x14ac:dyDescent="0.25">
      <c r="A68" s="38" t="s">
        <v>94</v>
      </c>
      <c r="B68" s="38" t="s">
        <v>95</v>
      </c>
      <c r="C68" s="38">
        <v>962.73</v>
      </c>
    </row>
    <row r="69" spans="1:3" s="22" customFormat="1" hidden="1" x14ac:dyDescent="0.25">
      <c r="A69" s="38" t="s">
        <v>96</v>
      </c>
      <c r="B69" s="38" t="s">
        <v>97</v>
      </c>
      <c r="C69" s="38">
        <v>1031.92</v>
      </c>
    </row>
    <row r="70" spans="1:3" s="22" customFormat="1" hidden="1" x14ac:dyDescent="0.25">
      <c r="A70" s="38" t="s">
        <v>98</v>
      </c>
      <c r="B70" s="38" t="s">
        <v>99</v>
      </c>
      <c r="C70" s="38">
        <v>503.74</v>
      </c>
    </row>
    <row r="71" spans="1:3" s="22" customFormat="1" hidden="1" x14ac:dyDescent="0.25">
      <c r="A71" s="38"/>
      <c r="B71" s="38" t="s">
        <v>100</v>
      </c>
      <c r="C71" s="38">
        <v>1185.9100000000001</v>
      </c>
    </row>
    <row r="72" spans="1:3" s="22" customFormat="1" hidden="1" x14ac:dyDescent="0.25">
      <c r="A72" s="38" t="s">
        <v>101</v>
      </c>
      <c r="B72" s="38" t="s">
        <v>102</v>
      </c>
      <c r="C72" s="38">
        <v>130.78</v>
      </c>
    </row>
    <row r="73" spans="1:3" s="22" customFormat="1" hidden="1" x14ac:dyDescent="0.25">
      <c r="A73" s="38"/>
      <c r="B73" s="38" t="s">
        <v>68</v>
      </c>
      <c r="C73" s="38">
        <v>502.14</v>
      </c>
    </row>
    <row r="74" spans="1:3" s="22" customFormat="1" hidden="1" x14ac:dyDescent="0.25">
      <c r="A74" s="38" t="s">
        <v>103</v>
      </c>
      <c r="B74" s="38" t="s">
        <v>104</v>
      </c>
      <c r="C74" s="38">
        <v>502.14</v>
      </c>
    </row>
    <row r="75" spans="1:3" s="22" customFormat="1" hidden="1" x14ac:dyDescent="0.25">
      <c r="A75" s="38"/>
      <c r="B75" s="38" t="s">
        <v>105</v>
      </c>
      <c r="C75" s="38">
        <v>543</v>
      </c>
    </row>
  </sheetData>
  <mergeCells count="9">
    <mergeCell ref="A21:A22"/>
    <mergeCell ref="A33:A34"/>
    <mergeCell ref="A35:A36"/>
    <mergeCell ref="A37:A38"/>
    <mergeCell ref="A1:C1"/>
    <mergeCell ref="A2:C2"/>
    <mergeCell ref="A6:A7"/>
    <mergeCell ref="A10:A11"/>
    <mergeCell ref="A19:A20"/>
  </mergeCells>
  <printOptions horizontalCentered="1"/>
  <pageMargins left="1.4960629921259843" right="0.51181102362204722" top="0.78740157480314965" bottom="0.78740157480314965" header="0.31496062992125984" footer="0.31496062992125984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showGridLines="0" workbookViewId="0">
      <selection activeCell="A2" sqref="A2:B2"/>
    </sheetView>
  </sheetViews>
  <sheetFormatPr defaultColWidth="9.140625" defaultRowHeight="15" x14ac:dyDescent="0.25"/>
  <cols>
    <col min="1" max="1" width="31.28515625" style="22" customWidth="1"/>
    <col min="2" max="2" width="23.85546875" style="22" customWidth="1"/>
    <col min="3" max="6" width="9.140625" style="22"/>
    <col min="7" max="8" width="9.140625" style="25" hidden="1" customWidth="1"/>
    <col min="9" max="16384" width="9.140625" style="22"/>
  </cols>
  <sheetData>
    <row r="1" spans="1:8" ht="27.75" customHeight="1" x14ac:dyDescent="0.25">
      <c r="A1" s="83" t="s">
        <v>123</v>
      </c>
      <c r="B1" s="83"/>
    </row>
    <row r="2" spans="1:8" ht="30" customHeight="1" x14ac:dyDescent="0.25">
      <c r="A2" s="82" t="s">
        <v>107</v>
      </c>
      <c r="B2" s="82"/>
    </row>
    <row r="3" spans="1:8" ht="18" customHeight="1" x14ac:dyDescent="0.25">
      <c r="A3" s="42" t="s">
        <v>134</v>
      </c>
      <c r="B3" s="42" t="s">
        <v>108</v>
      </c>
      <c r="G3" s="25" t="s">
        <v>168</v>
      </c>
      <c r="H3" s="25" t="s">
        <v>169</v>
      </c>
    </row>
    <row r="4" spans="1:8" ht="18" hidden="1" customHeight="1" x14ac:dyDescent="0.25">
      <c r="A4" s="38" t="s">
        <v>167</v>
      </c>
      <c r="B4" s="58">
        <v>22000</v>
      </c>
      <c r="G4" s="25">
        <v>20000</v>
      </c>
      <c r="H4" s="25">
        <f>G4</f>
        <v>20000</v>
      </c>
    </row>
    <row r="5" spans="1:8" ht="18" customHeight="1" x14ac:dyDescent="0.25">
      <c r="A5" s="38" t="s">
        <v>109</v>
      </c>
      <c r="B5" s="47">
        <f>H5</f>
        <v>15900</v>
      </c>
      <c r="G5" s="25">
        <v>15000</v>
      </c>
      <c r="H5" s="25">
        <f>(G5*6%)+G5</f>
        <v>15900</v>
      </c>
    </row>
    <row r="6" spans="1:8" ht="18" customHeight="1" x14ac:dyDescent="0.25">
      <c r="A6" s="38" t="s">
        <v>110</v>
      </c>
      <c r="B6" s="47">
        <f t="shared" ref="B6:B17" si="0">H6</f>
        <v>9540</v>
      </c>
      <c r="G6" s="25">
        <v>9000</v>
      </c>
      <c r="H6" s="25">
        <f t="shared" ref="H6:H17" si="1">(G6*6%)+G6</f>
        <v>9540</v>
      </c>
    </row>
    <row r="7" spans="1:8" ht="18" customHeight="1" x14ac:dyDescent="0.25">
      <c r="A7" s="38" t="s">
        <v>111</v>
      </c>
      <c r="B7" s="47">
        <f t="shared" si="0"/>
        <v>8388.2993999999999</v>
      </c>
      <c r="G7" s="25">
        <v>7913.49</v>
      </c>
      <c r="H7" s="25">
        <f t="shared" si="1"/>
        <v>8388.2993999999999</v>
      </c>
    </row>
    <row r="8" spans="1:8" ht="18" customHeight="1" x14ac:dyDescent="0.25">
      <c r="A8" s="38" t="s">
        <v>112</v>
      </c>
      <c r="B8" s="47">
        <f t="shared" si="0"/>
        <v>7240.0544</v>
      </c>
      <c r="G8" s="25">
        <v>6830.24</v>
      </c>
      <c r="H8" s="25">
        <f>(G8*6%)+G8</f>
        <v>7240.0544</v>
      </c>
    </row>
    <row r="9" spans="1:8" ht="18" customHeight="1" x14ac:dyDescent="0.25">
      <c r="A9" s="38" t="s">
        <v>113</v>
      </c>
      <c r="B9" s="47">
        <f t="shared" si="0"/>
        <v>4419.5534000000007</v>
      </c>
      <c r="G9" s="25">
        <v>4169.3900000000003</v>
      </c>
      <c r="H9" s="25">
        <f t="shared" si="1"/>
        <v>4419.5534000000007</v>
      </c>
    </row>
    <row r="10" spans="1:8" ht="18" customHeight="1" x14ac:dyDescent="0.25">
      <c r="A10" s="38" t="s">
        <v>114</v>
      </c>
      <c r="B10" s="47">
        <f t="shared" si="0"/>
        <v>3912.2161999999998</v>
      </c>
      <c r="G10" s="25">
        <v>3690.77</v>
      </c>
      <c r="H10" s="25">
        <f t="shared" si="1"/>
        <v>3912.2161999999998</v>
      </c>
    </row>
    <row r="11" spans="1:8" ht="18" customHeight="1" x14ac:dyDescent="0.25">
      <c r="A11" s="38" t="s">
        <v>115</v>
      </c>
      <c r="B11" s="47">
        <f t="shared" si="0"/>
        <v>3756.8202000000001</v>
      </c>
      <c r="G11" s="25">
        <v>3544.17</v>
      </c>
      <c r="H11" s="25">
        <f t="shared" si="1"/>
        <v>3756.8202000000001</v>
      </c>
    </row>
    <row r="12" spans="1:8" ht="18" customHeight="1" x14ac:dyDescent="0.25">
      <c r="A12" s="38" t="s">
        <v>116</v>
      </c>
      <c r="B12" s="47">
        <f t="shared" si="0"/>
        <v>2982.3312000000001</v>
      </c>
      <c r="G12" s="25">
        <v>2813.52</v>
      </c>
      <c r="H12" s="25">
        <f t="shared" si="1"/>
        <v>2982.3312000000001</v>
      </c>
    </row>
    <row r="13" spans="1:8" ht="18" customHeight="1" x14ac:dyDescent="0.25">
      <c r="A13" s="38" t="s">
        <v>117</v>
      </c>
      <c r="B13" s="47">
        <f t="shared" si="0"/>
        <v>1905.3817999999999</v>
      </c>
      <c r="G13" s="25">
        <v>1797.53</v>
      </c>
      <c r="H13" s="25">
        <f t="shared" si="1"/>
        <v>1905.3817999999999</v>
      </c>
    </row>
    <row r="14" spans="1:8" ht="18" customHeight="1" x14ac:dyDescent="0.25">
      <c r="A14" s="38" t="s">
        <v>118</v>
      </c>
      <c r="B14" s="47">
        <f t="shared" si="0"/>
        <v>1531.6258</v>
      </c>
      <c r="G14" s="25">
        <v>1444.93</v>
      </c>
      <c r="H14" s="25">
        <f t="shared" si="1"/>
        <v>1531.6258</v>
      </c>
    </row>
    <row r="15" spans="1:8" ht="18" customHeight="1" x14ac:dyDescent="0.25">
      <c r="A15" s="38" t="s">
        <v>119</v>
      </c>
      <c r="B15" s="47">
        <f t="shared" si="0"/>
        <v>1219.5193999999999</v>
      </c>
      <c r="G15" s="25">
        <v>1150.49</v>
      </c>
      <c r="H15" s="25">
        <f t="shared" si="1"/>
        <v>1219.5193999999999</v>
      </c>
    </row>
    <row r="16" spans="1:8" ht="18" customHeight="1" x14ac:dyDescent="0.25">
      <c r="A16" s="38" t="s">
        <v>120</v>
      </c>
      <c r="B16" s="47">
        <f t="shared" si="0"/>
        <v>984.47500000000002</v>
      </c>
      <c r="G16" s="25">
        <v>928.75</v>
      </c>
      <c r="H16" s="25">
        <f t="shared" si="1"/>
        <v>984.47500000000002</v>
      </c>
    </row>
    <row r="17" spans="1:8" ht="18" customHeight="1" x14ac:dyDescent="0.25">
      <c r="A17" s="38" t="s">
        <v>121</v>
      </c>
      <c r="B17" s="47">
        <f t="shared" si="0"/>
        <v>895.85899999999992</v>
      </c>
      <c r="G17" s="25">
        <v>845.15</v>
      </c>
      <c r="H17" s="25">
        <f t="shared" si="1"/>
        <v>895.85899999999992</v>
      </c>
    </row>
  </sheetData>
  <mergeCells count="2">
    <mergeCell ref="A2:B2"/>
    <mergeCell ref="A1:B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"/>
  <sheetViews>
    <sheetView showGridLines="0" tabSelected="1" workbookViewId="0">
      <selection sqref="A1:B2"/>
    </sheetView>
  </sheetViews>
  <sheetFormatPr defaultColWidth="8.85546875" defaultRowHeight="15" x14ac:dyDescent="0.25"/>
  <cols>
    <col min="1" max="1" width="31.28515625" style="22" customWidth="1"/>
    <col min="2" max="2" width="23.85546875" style="22" customWidth="1"/>
    <col min="3" max="6" width="9.140625" style="22"/>
    <col min="7" max="8" width="9.140625" style="25" hidden="1" customWidth="1"/>
    <col min="9" max="16384" width="8.85546875" style="22"/>
  </cols>
  <sheetData>
    <row r="1" spans="1:8" ht="27.75" customHeight="1" x14ac:dyDescent="0.25">
      <c r="A1" s="83" t="s">
        <v>173</v>
      </c>
      <c r="B1" s="83"/>
    </row>
    <row r="2" spans="1:8" ht="30" customHeight="1" x14ac:dyDescent="0.25">
      <c r="A2" s="82" t="s">
        <v>171</v>
      </c>
      <c r="B2" s="82"/>
    </row>
    <row r="3" spans="1:8" ht="18" customHeight="1" x14ac:dyDescent="0.25">
      <c r="A3" s="42" t="s">
        <v>134</v>
      </c>
      <c r="B3" s="42" t="s">
        <v>108</v>
      </c>
      <c r="G3" s="25" t="s">
        <v>168</v>
      </c>
      <c r="H3" s="25" t="s">
        <v>172</v>
      </c>
    </row>
    <row r="4" spans="1:8" ht="18" customHeight="1" x14ac:dyDescent="0.25">
      <c r="A4" s="38" t="s">
        <v>170</v>
      </c>
      <c r="B4" s="58">
        <f>H4</f>
        <v>5379.9663999999993</v>
      </c>
      <c r="G4" s="59">
        <v>5075.4399999999996</v>
      </c>
      <c r="H4" s="25">
        <f>G4*6%+G4</f>
        <v>5379.9663999999993</v>
      </c>
    </row>
  </sheetData>
  <mergeCells count="2">
    <mergeCell ref="A1:B1"/>
    <mergeCell ref="A2:B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5</vt:i4>
      </vt:variant>
    </vt:vector>
  </HeadingPairs>
  <TitlesOfParts>
    <vt:vector size="15" baseType="lpstr">
      <vt:lpstr>EFETIVOS_6%</vt:lpstr>
      <vt:lpstr>GUARDA MUNICIPAL_6%</vt:lpstr>
      <vt:lpstr>AUDITOR CONTROLE INTERNO_6%</vt:lpstr>
      <vt:lpstr>ASSIST DE AUDITOR INTERN_6%</vt:lpstr>
      <vt:lpstr>AUDITOR FISCAL TRIBUTOS_6%</vt:lpstr>
      <vt:lpstr>PROCURADORES_6%</vt:lpstr>
      <vt:lpstr>TEC FISCAL URBANISMO_6%</vt:lpstr>
      <vt:lpstr>COLISEU_6%</vt:lpstr>
      <vt:lpstr>COMISSIONADOS_6%</vt:lpstr>
      <vt:lpstr>CONSELHEIRO TUTELAR_6%</vt:lpstr>
      <vt:lpstr>'ASSIST DE AUDITOR INTERN_6%'!Area_de_impressao</vt:lpstr>
      <vt:lpstr>'AUDITOR CONTROLE INTERNO_6%'!Area_de_impressao</vt:lpstr>
      <vt:lpstr>'AUDITOR FISCAL TRIBUTOS_6%'!Area_de_impressao</vt:lpstr>
      <vt:lpstr>'PROCURADORES_6%'!Area_de_impressao</vt:lpstr>
      <vt:lpstr>'TEC FISCAL URBANISMO_6%'!Area_de_impressao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Octavio Augusto Gomes de Figueredo Soares</dc:creator>
  <cp:lastModifiedBy>Matheus dos Santos Silva</cp:lastModifiedBy>
  <cp:lastPrinted>2025-07-22T14:19:18Z</cp:lastPrinted>
  <dcterms:created xsi:type="dcterms:W3CDTF">2014-06-10T20:18:13Z</dcterms:created>
  <dcterms:modified xsi:type="dcterms:W3CDTF">2025-07-22T14:21:27Z</dcterms:modified>
</cp:coreProperties>
</file>